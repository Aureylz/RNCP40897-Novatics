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24.04\home\aureylz\RNCP40897-Novatics\docs\rncp\"/>
    </mc:Choice>
  </mc:AlternateContent>
  <xr:revisionPtr revIDLastSave="0" documentId="13_ncr:1_{1440F53F-7F8C-4C42-8C2D-B38099B67993}" xr6:coauthVersionLast="47" xr6:coauthVersionMax="47" xr10:uidLastSave="{00000000-0000-0000-0000-000000000000}"/>
  <bookViews>
    <workbookView xWindow="-120" yWindow="-120" windowWidth="29040" windowHeight="17520" activeTab="1" xr2:uid="{00000000-000D-0000-FFFF-FFFF00000000}"/>
  </bookViews>
  <sheets>
    <sheet name="Dashboard" sheetId="1" r:id="rId1"/>
    <sheet name="Bloc 1" sheetId="5" r:id="rId2"/>
    <sheet name="Bloc 2" sheetId="6" r:id="rId3"/>
    <sheet name="Bloc 3" sheetId="7" r:id="rId4"/>
    <sheet name="Bloc 4" sheetId="8" r:id="rId5"/>
    <sheet name="Config"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B6" i="1"/>
  <c r="B3" i="1"/>
  <c r="B4" i="1"/>
  <c r="B5" i="1"/>
  <c r="B2" i="1"/>
  <c r="B8" i="1"/>
  <c r="B7" i="1"/>
</calcChain>
</file>

<file path=xl/sharedStrings.xml><?xml version="1.0" encoding="utf-8"?>
<sst xmlns="http://schemas.openxmlformats.org/spreadsheetml/2006/main" count="413" uniqueCount="266">
  <si>
    <t>Métrique</t>
  </si>
  <si>
    <t>Valeur</t>
  </si>
  <si>
    <t>Total Compétences</t>
  </si>
  <si>
    <t>Compétences Terminées</t>
  </si>
  <si>
    <t>Compétences En cours</t>
  </si>
  <si>
    <t>Compétences À faire</t>
  </si>
  <si>
    <t>Progression Globale (%)</t>
  </si>
  <si>
    <t>Jours avant deadline Bloc 1-2</t>
  </si>
  <si>
    <t>Jours avant deadline Bloc 3-4</t>
  </si>
  <si>
    <t>Activité</t>
  </si>
  <si>
    <t>Compétence</t>
  </si>
  <si>
    <t>Statut</t>
  </si>
  <si>
    <t>BLOC 1</t>
  </si>
  <si>
    <t>B1.A1.C1</t>
  </si>
  <si>
    <t>À faire</t>
  </si>
  <si>
    <t>B1.A1.C2</t>
  </si>
  <si>
    <t>B1.A1.C3</t>
  </si>
  <si>
    <t>B1.A1.C4</t>
  </si>
  <si>
    <t>B1.A2.C1</t>
  </si>
  <si>
    <t>B1.A2.C2</t>
  </si>
  <si>
    <t>B1.A2.C3</t>
  </si>
  <si>
    <t>B1.A3.C1</t>
  </si>
  <si>
    <t>B1.A3.C2</t>
  </si>
  <si>
    <t>B1.A3.C3</t>
  </si>
  <si>
    <t>BLOC 2</t>
  </si>
  <si>
    <t>B2.A1.C1</t>
  </si>
  <si>
    <t>B2.A1.C2</t>
  </si>
  <si>
    <t>B2.A1.C3</t>
  </si>
  <si>
    <t>B2.A2.C1</t>
  </si>
  <si>
    <t>B2.A2.C2</t>
  </si>
  <si>
    <t>B2.A2.C3</t>
  </si>
  <si>
    <t>B2.A3.C1</t>
  </si>
  <si>
    <t>B2.A3.C2</t>
  </si>
  <si>
    <t>B2.A3.C3</t>
  </si>
  <si>
    <t>BLOC 3</t>
  </si>
  <si>
    <t>B3.A1.C1</t>
  </si>
  <si>
    <t>B3.A1.C2</t>
  </si>
  <si>
    <t>B3.A1.C3</t>
  </si>
  <si>
    <t>B3.A2.C1</t>
  </si>
  <si>
    <t>B3.A2.C2</t>
  </si>
  <si>
    <t>B3.A2.C3</t>
  </si>
  <si>
    <t>B3.A3.C1</t>
  </si>
  <si>
    <t>B3.A3.C2</t>
  </si>
  <si>
    <t>BLOC 4</t>
  </si>
  <si>
    <t>B4.A1.C1</t>
  </si>
  <si>
    <t>B4.A1.C2</t>
  </si>
  <si>
    <t>B4.A1.C3</t>
  </si>
  <si>
    <t>B4.A2.C1</t>
  </si>
  <si>
    <t>B4.A2.C2</t>
  </si>
  <si>
    <t>B4.A2.C3</t>
  </si>
  <si>
    <t>B4.A3.C1</t>
  </si>
  <si>
    <t>B4.A3.C2</t>
  </si>
  <si>
    <t>B4.A3.C3</t>
  </si>
  <si>
    <t>Présentation de l'organisation (organigramme, parties prenantes, besoins/contraintes, schéma fonctionnel)</t>
  </si>
  <si>
    <t>Document</t>
  </si>
  <si>
    <t>.docx</t>
  </si>
  <si>
    <t>Cartographie du système d'information (SI)</t>
  </si>
  <si>
    <t>Rapport de veille technique, réglementaire et normative</t>
  </si>
  <si>
    <t>Cartographie des risques résultant de l'analyse de risque</t>
  </si>
  <si>
    <t>Note de cadrage de la politique de sécurité du système d'information (PSSI)</t>
  </si>
  <si>
    <t>Synthèse du rapport d'analyse des écarts (Gap Analysis Report)</t>
  </si>
  <si>
    <t>Plan d'actions de sécurité défini</t>
  </si>
  <si>
    <t>Liste des documents clés encadrant la sécurité du SI</t>
  </si>
  <si>
    <t>Plan de sauvegarde/PRA/PCA/PSI du SI</t>
  </si>
  <si>
    <t>Plan de sensibilisation et de formation des utilisateurs à la sécurité du SI</t>
  </si>
  <si>
    <t>Spécifications techniques et fonctionnelles d'une solution de sécurité</t>
  </si>
  <si>
    <t>Note explicative de la gestion du projet d'intégration</t>
  </si>
  <si>
    <t>Rapport d'intégration avec tableau de suivi et KPIs</t>
  </si>
  <si>
    <t>Schéma d'architecture initiale et schéma d'architecture sécurisée du SI</t>
  </si>
  <si>
    <t>Note décrivant la gestion des identités et contrôle d'accès</t>
  </si>
  <si>
    <t>Exemple de solution cryptographique mise en place</t>
  </si>
  <si>
    <t>Plan d'audit technique d'une solution de sécurité</t>
  </si>
  <si>
    <t>Rapport d'audit technique de la solution de sécurité</t>
  </si>
  <si>
    <t>Rapport de suivi des actions correctives</t>
  </si>
  <si>
    <t>Politique de gestion de l'obsolescence et des mises à jour du SI</t>
  </si>
  <si>
    <t>Procédure de mise à jour d'un actif du SI</t>
  </si>
  <si>
    <t>Tableau de bord de suivi des mises à jour et de l'obsolescence</t>
  </si>
  <si>
    <t>Note de cadrage de la politique de contrôle et surveillance</t>
  </si>
  <si>
    <t>Description détaillée du SOC mis en place</t>
  </si>
  <si>
    <t>Scenario de test et analyse des résultats</t>
  </si>
  <si>
    <t>Etude d'une vulnérabilité détectée</t>
  </si>
  <si>
    <t>Correction d'une vulnérabilité détectée</t>
  </si>
  <si>
    <t>Stratégie de communication de crise et exemple de message type</t>
  </si>
  <si>
    <t>Plan d'organisation et de fonctionnement de la cellule de crise</t>
  </si>
  <si>
    <t>Exercice d'entrainement de gestion de crise</t>
  </si>
  <si>
    <t>Rapport d'analyse initiale d'un incident détecté</t>
  </si>
  <si>
    <t>Mesures d'endiguement prises face à l'incident</t>
  </si>
  <si>
    <t>Rapport d'analyse forensique de l'incident</t>
  </si>
  <si>
    <t>Actions d'éviction et d'éradication prises</t>
  </si>
  <si>
    <t>Description du plan de restauration du SI</t>
  </si>
  <si>
    <t>Rapport d'analyse post mortem de l'incident</t>
  </si>
  <si>
    <t>Deadline</t>
  </si>
  <si>
    <t>Priorité</t>
  </si>
  <si>
    <t>En cours</t>
  </si>
  <si>
    <t>PO Safyra</t>
  </si>
  <si>
    <t>Haute</t>
  </si>
  <si>
    <t>Moyenne</t>
  </si>
  <si>
    <t>Critique</t>
  </si>
  <si>
    <t>Description</t>
  </si>
  <si>
    <t>Livrable attendu</t>
  </si>
  <si>
    <t>B1.A1 - Etude de l'écosystème de l'organisation</t>
  </si>
  <si>
    <t>Auditer l'organisation en identifiant les besoins métiers, les acteurs et les dépendances fonctionnelles, en analysant les processus métiers, en évaluant les interactions entre les systèmes et en recueillant les attentes des parties prenantes afin de garantir une vision exhaustive du fonctionnement opérationnel de l'organisation.</t>
  </si>
  <si>
    <t>Etablir la cartographie du système d'information (SI) de l'organisation, en réalisant l'inventaire des services et actifs techniques, en identifiant les liaisons et les flux de données, en choisissant le modèle et l'outil de modélisation le plus adapté afin de disposer d'une représentation détaillée du système d'information de l'organisation.</t>
  </si>
  <si>
    <t>B1.A1.C3 - Assurer une veille technologique</t>
  </si>
  <si>
    <t>Assurer une veille technologique, technique, réglementaire et normative à l'aide d'outils adaptés, en surveillant les innovations technologiques, les évolutions des cadres légaux et des standards applicables, en analysant leurs impacts sur l'organisation afin d'identifier les obligations et les opportunités d'amélioration en matière de sécurité du système d'information.</t>
  </si>
  <si>
    <t>B1.A1.C4 - Réaliser une analyse des risques</t>
  </si>
  <si>
    <t>Réaliser une analyse des risques en identifiant le type d'évènements pouvant affecter la sécurité du système d'information et leurs sources, en hiérarchisant les risques selon leur gravité et leur impact potentiel afin de mesurer la maturité de l'organisation en matière de sécurité.</t>
  </si>
  <si>
    <t>B1.A2 - Conception de la stratégie de sécurité du SI de l'organisation</t>
  </si>
  <si>
    <t>B1.A2.C1 - Définir la PSSI</t>
  </si>
  <si>
    <t>Définir la politique de sécurité du système d'information (PSSI) d'une organisation en tenant compte de l'étude de l'écosystème réalisée, en intégrant les référentiels normatifs et règlementation applicables, les modèles de sécurité choisis, en précisant l'homologation visée le cas échéant afin de formaliser un cadre stratégique de sécurité du SI aligné sur l'organisation.</t>
  </si>
  <si>
    <t>B1.A2.C2 - Réaliser une analyse des écarts</t>
  </si>
  <si>
    <t>Réaliser une analyse des écarts entre l'état actuel du système d'information et les objectifs de la politique de sécurité du système d'information en classant les écarts selon leur criticité afin de prioriser les actions de sécurité à déployer.</t>
  </si>
  <si>
    <t>B1.A2.C3 - Définir un plan d'actions de sécurité</t>
  </si>
  <si>
    <t>Définir un plan d'actions de sécurité en tenant compte du rapport d'analyse des écarts, de l'impact écologique des actions proposées, en définissant les besoins et moyens techniques et humains nécessaires, en estimant les coûts associés afin de valider le déploiement du plan d'actions de sécurité avec les décisionnaires de l'organisation.</t>
  </si>
  <si>
    <t>B1.A3 - Préparation du déploiement de la stratégie de sécurité au sein de l'organisation</t>
  </si>
  <si>
    <t>B1.A3.C1 - Elaborer le corpus documentaire</t>
  </si>
  <si>
    <t>Elaborer le corpus documentaire de sécurité du SI de l'organisation en tenant compte de la politique de sécurité du système d'information (PSSI), en veillant à l'accessibilité des supports pour les personnes en situation de handicap afin d'encadrer l'utilisation du système d'information (SI).</t>
  </si>
  <si>
    <t>B1.A3.C2 - Concevoir les plans de résilience</t>
  </si>
  <si>
    <t>Concevoir les plans de sauvegarde, de secours informatique, de reprise d'activité et de continuité d'activité en s'assurant de la capacité de l'organisation à les mettre en œuvre via des tests et simulations d'incidents, en indiquant leur impact écologique afin d'assurer la résilience globale du système d'information face aux incidents et crises.</t>
  </si>
  <si>
    <t>B1.A3.C3 - Elaborer un plan de sensibilisation</t>
  </si>
  <si>
    <t>Élaborer un plan de sensibilisation et de formation à la sécurité pour les utilisateurs du SI en identifiant les besoins spécifiques selon les profils d'utilisateurs, en fournissant des contenus adaptés en utilisant des supports pédagogiques variés et adaptés aux personnes en situation de handicap afin de renforcer la culture de la sécurité et réduire les risques liés aux erreurs humaines.</t>
  </si>
  <si>
    <t>B2.A1 - Pilotage des projets d'intégration de solutions de sécurité du SI</t>
  </si>
  <si>
    <t>B2.A1.C1 - Rédiger les spécifications</t>
  </si>
  <si>
    <t>Rédiger les spécifications techniques et fonctionnelles des solutions de sécurité en analysant les besoins métiers, les contraintes réglementaires et les enjeux opérationnels afin de répondre aux exigences de sécurité de la politique de sécurité du SI (PSSI).</t>
  </si>
  <si>
    <t>B2.A1.C2 - Organiser le projet d'intégration</t>
  </si>
  <si>
    <t>Organiser le projet d'intégration des solutions de sécurité en sélectionnant une méthodologie de gestion de projet adaptée, en définissant des critères de performance, en établissant le planning du projet, en allouant les ressources nécessaires, afin d'optimiser la réalisation du projet.</t>
  </si>
  <si>
    <t>B2.A1.C3 - Piloter l'avancement du projet</t>
  </si>
  <si>
    <t>Piloter l'avancement du projet en coordonnant les parties prenantes, en supervisant l'exécution des tâches et en ajustant les actions si nécessaire, afin de garantir le respect des délais, des coûts et des objectifs de sécurité.</t>
  </si>
  <si>
    <t>B2.A2 - Conception et intégration de solutions de sécurité du SI de l'organisation</t>
  </si>
  <si>
    <t>B2.A2.C1 - Concevoir une architecture sécurisée</t>
  </si>
  <si>
    <t>Concevoir une architecture sécurisée du système d'information en analysant les besoins métiers et les risques de sécurité, en intégrant les principes de défense en profondeur, de segmentation et de contrôle d'accès, en sélectionnant des solutions technologiques adaptées afin de protéger les données, les applications et les infrastructures contre les menaces internes et externes.</t>
  </si>
  <si>
    <t>B2.A2.C2 - Gérer les identités et contrôler les accès</t>
  </si>
  <si>
    <t>Gérer les identités et contrôler les accès en mettant en œuvre des processus d'authentification tenant compte des personnes en situation de handicap le cas échéant, d'autorisation et de gestion des droits afin de sécuriser l'accès aux ressources et prévenir les usages non autorisés.</t>
  </si>
  <si>
    <t>B2.A2.C3 - Déployer des solutions cryptographiques</t>
  </si>
  <si>
    <t>Déployer des solutions cryptographiques en configurant les outils adaptés, en appliquant les protocoles et en assurant leur intégration dans l'environnement existant afin de garantir la confidentialité, l'intégrité et l'authenticité des données.</t>
  </si>
  <si>
    <t>B2.A3 - Evaluation de l'efficacité des solutions de sécurité du SI mises en place</t>
  </si>
  <si>
    <t>B2.A3.C1 - Organiser un audit technique</t>
  </si>
  <si>
    <t>Organiser un audit technique des solutions de sécurité en définissant un plan d'audit structuré précisant le périmètre d'analyse et les référentiels applicables, afin de permettre l'identification des vulnérabilités, des non-conformités et des axes d'amélioration.</t>
  </si>
  <si>
    <t>B2.A3.C2 - Rédiger un rapport d'audit</t>
  </si>
  <si>
    <t>Rédiger un rapport d'audit technique précis et structuré en synthétisant les résultats des analyses, en formulant des actions correctives ou recommandations adaptées, réalisables et conformes aux normes et standards en vigueur afin de documenter l'état de sécurité et les axes d'amélioration de la solution.</t>
  </si>
  <si>
    <t>B2.A3.C3 - Assurer le suivi des actions correctives</t>
  </si>
  <si>
    <t>Assurer le suivi des actions correctives issues d'un audit technique de sécurité du SI, en coordonnant les parties prenantes, en vérifiant la mise en œuvre des mesures recommandées et en évaluant leur efficacité, afin de garantir la réduction effective des risques identifiés.</t>
  </si>
  <si>
    <t>B3.A1 - Gestion de l'obsolescence et des mises à jour du SI</t>
  </si>
  <si>
    <t>B3.A1.C1 - Définir une politique de gestion</t>
  </si>
  <si>
    <t>Définir une politique de gestion de l'obsolescence et des mises à jour du système d'information en identifiant les composants matériels et logiciels, leur typologie et leur cycle de vie afin d'assurer la sécurité, la performance et la fiabilité du système d'information.</t>
  </si>
  <si>
    <t>B3.A1.C2 - Réaliser les mises à jour</t>
  </si>
  <si>
    <t>Réaliser les mises à jour ou décommissionnements des actifs du SI en suivant une procédure préalablement établie afin de garantir la sécurité, la compatibilité et la continuité des opérations.</t>
  </si>
  <si>
    <t>B3.A1.C3 - Développer des indicateurs</t>
  </si>
  <si>
    <t>Développer des indicateurs de suivi en s'appuyant sur l'analyse des données historiques, la collecte d'informations en temps réel et l'automatisation des rapports afin de mesurer l'efficacité de la gestion des mises à jour et de l'obsolescence.</t>
  </si>
  <si>
    <t>B3.A2 - Contrôle et surveillance continue de la sécurité du SI de l'organisation</t>
  </si>
  <si>
    <t>B3.A2.C1 - Elaborer une politique de contrôle</t>
  </si>
  <si>
    <t>Elaborer une politique de contrôle et de surveillance continue en tenant compte des menaces identifiées et de la PSSI, en alignant les objectifs de surveillance sur les exigences règlementaires et les besoins métiers afin d'assurer une supervision efficace du SI.</t>
  </si>
  <si>
    <t>B3.A2.C2 - Intégrer un SOC</t>
  </si>
  <si>
    <t>Intégrer un Security Operations Center (SOC) au sein de l'organisation en définissant les dispositifs de sécurité adéquats, les équipes nécessaires et les indicateurs à suivre, afin de surveiller en temps réel les menaces.</t>
  </si>
  <si>
    <t>B3.A2.C3 - Evaluer l'efficacité du SOC</t>
  </si>
  <si>
    <t>Évaluer l'efficacité du Security Operations Center (SOC) d'une organisation, en utilisant des scénarios de test réalistes afin de s'assurer de la performance du processus de détection et de l'efficacité des équipes.</t>
  </si>
  <si>
    <t>B3.A3 - Détection et correction des vulnérabilités</t>
  </si>
  <si>
    <t>B3.A3.C1 - Documenter les vulnérabilités</t>
  </si>
  <si>
    <t>Documenter les vulnérabilités détectées lors de la surveillance du SI en analysant les alertes générées par les outils de monitoring, en évaluant leur criticité afin de proposer des actions correctives.</t>
  </si>
  <si>
    <t>B3.A3.C2 - Corriger les vulnérabilités</t>
  </si>
  <si>
    <t>Corriger les vulnérabilités identifiées en élaborant un plan d'actions correctives approprié afin de restaurer la sécurité du système concerné.</t>
  </si>
  <si>
    <t>B4.A1 - Elaboration d'une stratégie de gestion de crise</t>
  </si>
  <si>
    <t>B4.A1.C1 - Concevoir une stratégie de communication</t>
  </si>
  <si>
    <t>Concevoir une stratégie de communication de crise, en identifiant les parties prenantes à contacter et les canaux de communication de secours à utiliser, en rédigeant des messages types clés en main afin d'aider l'organisation à communiquer de manière efficace en cas de crise.</t>
  </si>
  <si>
    <t>B4.A1.C2 - Organiser une cellule stratégique</t>
  </si>
  <si>
    <t>Organiser une cellule stratégique de crise en identifiant ses membres, leurs rôles et missions, en définissant les critères et procédures d'activation de la cellule de crise afin d'assurer une bonne coordination et mobilisation des équipes pendant la crise.</t>
  </si>
  <si>
    <t>B4.A1.C3 - Déployer une stratégie d'entrainement</t>
  </si>
  <si>
    <t>Déployer une stratégie d'entrainement de gestion de crise en réalisant des exercices variés testant différents scénarios d'attaque réalistes et adaptés à l'organisation afin de renforcer les compétences de l'équipe.</t>
  </si>
  <si>
    <t>B4.A2 - Analyse des incidents détectés et endiguement</t>
  </si>
  <si>
    <t>B4.A2.C1 - Réaliser l'analyse initiale</t>
  </si>
  <si>
    <t>Réaliser l'analyse initiale de tout incident détecté en vérifiant qu'il ne s'agisse pas d'une fausse alerte, en définissant sa nature, sa portée et sa criticité afin de décider de l'activation de la cellule stratégique de crise.</t>
  </si>
  <si>
    <t>B4.A2.C2 - Mettre en place des mesures d'endiguement</t>
  </si>
  <si>
    <t>Mettre en place des mesures d'endiguement appropriées en protégeant les actifs essentiels du SI à l'aide d'outils et techniques adaptés afin de limiter la propagation de l'incident.</t>
  </si>
  <si>
    <t>B4.A2.C3 - Réaliser une analyse forensique</t>
  </si>
  <si>
    <t>Réaliser une analyse forensique de l'incident en collectant et corrélant les preuves numériques à l'aide des outils adaptés afin de préparer une réponse et remédiation adaptées.</t>
  </si>
  <si>
    <t>B4.A3 - Pilotage opérationnel de la remédiation de l'incident et capitalisation</t>
  </si>
  <si>
    <t>B4.A3.C1 - Déployer des actions d'éviction</t>
  </si>
  <si>
    <t>Déployer des actions d'éviction et d'éradication en mobilisant des experts et des outils de sécurité adaptés, en vérifiant l'efficacité de ces actions afin d'éliminer la menace.</t>
  </si>
  <si>
    <t>B4.A3.C2 - Mettre en œuvre le plan de restauration</t>
  </si>
  <si>
    <t>Mettre en œuvre le plan de restauration du SI en utilisant des solutions techniques afin de rétablir les capacités du système d'information (SI).</t>
  </si>
  <si>
    <t>B4.A3.C3 - Capitaliser sur les enseignements</t>
  </si>
  <si>
    <t>Capitaliser sur les enseignements de la crise en réalisant une analyse post mortem de l'incident afin d'améliorer la gestion future de crise.</t>
  </si>
  <si>
    <t>Statuts</t>
  </si>
  <si>
    <t>Priorités</t>
  </si>
  <si>
    <t>Types_Livrables</t>
  </si>
  <si>
    <t>Formats</t>
  </si>
  <si>
    <t>Responsables</t>
  </si>
  <si>
    <t>Technologies_Safyra</t>
  </si>
  <si>
    <t>Standards</t>
  </si>
  <si>
    <t>Terraform</t>
  </si>
  <si>
    <t>NIST SP 800-207</t>
  </si>
  <si>
    <t>Code</t>
  </si>
  <si>
    <t>.pdf</t>
  </si>
  <si>
    <t>Tech Lead</t>
  </si>
  <si>
    <t>Ansible</t>
  </si>
  <si>
    <t>NIST RMF</t>
  </si>
  <si>
    <t>En révision</t>
  </si>
  <si>
    <t>Configuration</t>
  </si>
  <si>
    <t>.yaml</t>
  </si>
  <si>
    <t>DevSecOps</t>
  </si>
  <si>
    <t>Keycloak</t>
  </si>
  <si>
    <t>ISO 27001</t>
  </si>
  <si>
    <t>Terminé</t>
  </si>
  <si>
    <t>Basse</t>
  </si>
  <si>
    <t>Architecture</t>
  </si>
  <si>
    <t>.json</t>
  </si>
  <si>
    <t>Security Expert</t>
  </si>
  <si>
    <t>Wazuh</t>
  </si>
  <si>
    <t>GDPR</t>
  </si>
  <si>
    <t>Bloqué</t>
  </si>
  <si>
    <t>Rapport</t>
  </si>
  <si>
    <t>.py</t>
  </si>
  <si>
    <t>Compliance Officer</t>
  </si>
  <si>
    <t>ModSecurity</t>
  </si>
  <si>
    <t>NIS2</t>
  </si>
  <si>
    <t>Dashboard</t>
  </si>
  <si>
    <t>.md</t>
  </si>
  <si>
    <t>Suricata</t>
  </si>
  <si>
    <t>OWASP Top 10</t>
  </si>
  <si>
    <t>.plantuml</t>
  </si>
  <si>
    <t>OpenSCAP</t>
  </si>
  <si>
    <t>CIS Benchmarks</t>
  </si>
  <si>
    <t>GitLab CI</t>
  </si>
  <si>
    <t>MITRE ATT&amp;CK</t>
  </si>
  <si>
    <t>Livrables</t>
  </si>
  <si>
    <t>Présentation de l'organisation</t>
  </si>
  <si>
    <t>B1.A1.C1
Auditer l'organisation</t>
  </si>
  <si>
    <t>B1.A1.C2
Etablir la cartographie du SI</t>
  </si>
  <si>
    <t>Jours restants</t>
  </si>
  <si>
    <t>Livrables réels</t>
  </si>
  <si>
    <t>5. Cartographie macro du SI (schéma d'urbanisation par zones) 
6. Inventaire des actifs critiques (registre des assets)
7. Matrice des flux de données sensibles</t>
  </si>
  <si>
    <t>8. Rapport de veille stratégique (menaces sectorielles + réglementaire) 
9. Tableau de conformité réglementaire (NIS2, RGPD, LPM, II 901)</t>
  </si>
  <si>
    <t>10. Rapport d'analyse de risques EBIOS RM (version complète)
11. Cartographie des risques (matrice 5x5 + heat map)
12. Fiches de risques (top 5 scénarios critiques)</t>
  </si>
  <si>
    <t>13. Note de cadrage PSSI (document stratégique COMEX)
14. Charte de sécurité SI (version diffusable)</t>
  </si>
  <si>
    <t>15. Rapport de Gap Analysis (état actuel vs cible ISO 27001 / II 901)
16. Tableau de maturité SSI (scoring par domaine)</t>
  </si>
  <si>
    <t>17. Plan d'actions SSI pluriannuel (PAS) avec budget
18. Feuille de route projets SSI (roadmap visuelle)</t>
  </si>
  <si>
    <t>19. Référentiel documentaire SSI (liste + statut + priorité)
20. Template de procédure type (exemple : gestion des accès)</t>
  </si>
  <si>
    <t>21. Stratégie de continuité et reprise (note de cadrage PCA/PRA)
22. Fiche réflexe PCA (scénario critique : perte Novatics Cloud)
23. Plan de sauvegarde (politique backup 3-2-1)</t>
  </si>
  <si>
    <t>24. Plan de sensibilisation annuel (programme + calendrier)
25. Kit de sensibilisation (supports par population cible)</t>
  </si>
  <si>
    <t>1. Fiche d'identité SSI (note de cadrage 2-3 pages)
2. Organigramme fonctionnel SSI avec RACI
3. Registre des parties prenantes (internes + externes) 
4. Schéma fonctionnel des processus métiers critiques</t>
  </si>
  <si>
    <t>1. Spécifications techniques Lab DR (solution d'isolation air-gapped)
2. Cahier des charges fonctionnel Lab DR
3. Matrice d'exigences sécurité vs. II 901</t>
  </si>
  <si>
    <t>4. Plan de projet intégration Lab DR (méthodologie Prince2/Agile)
5. Note d'organisation projet (ressources, planning, jalons)
6. Registre des risques projet</t>
  </si>
  <si>
    <t>7. Tableau de bord de suivi projet Lab DR
8. Compte-rendu de comité de pilotage (exemple)
9. Rapport d'avancement avec KPIs</t>
  </si>
  <si>
    <t>10. Dossier d'architecture sécurisée Novatics (AS-IS vs TO-BE)
11. Schéma de segmentation réseau par zones de confiance
12. Note de conception défense en profondeur</t>
  </si>
  <si>
    <t>13. Politique de gestion des identités et des accès (IAM)
14. Matrice des droits d'accès par rôle (RBAC FreeIPA/Keycloak)
15. Procédure d'habilitation et de révocation</t>
  </si>
  <si>
    <t>16. Dossier cryptographique Novatics (algorithmes, clés, PKI)
17. Procédure de gestion des clés (Nitrokey HSM + step-ca)
18. Schéma d'architecture PKI interne</t>
  </si>
  <si>
    <t>19. Plan d'audit technique solution IAM (Keycloak/FreeIPA)
20. Grille d'audit basée sur OWASP et guides ANSSI
21. Périmètre et planning d'audit</t>
  </si>
  <si>
    <t>22. Rapport d'audit technique IAM
23. Matrice des vulnérabilités identifiées (CVSS)
24. Plan de recommandations priorisées</t>
  </si>
  <si>
    <t>25. Plan de suivi des actions correctives post-audit
26. Tableau de bord remédiation
27. Rapport de clôture d'audit avec preuves</t>
  </si>
  <si>
    <t>1. Politique de gestion de l'obsolescence et des mises à jour
2. Inventaire des actifs avec cycle de vie (EOL/EOS)
3. Matrice de priorisation des mises à jour par criticité</t>
  </si>
  <si>
    <t>4. Procédure de mise à jour des actifs critiques
5. Procédure de décommissionnement sécurisé
6. Checklist de validation post-mise à jour</t>
  </si>
  <si>
    <t>7. Tableau de bord de suivi des mises à jour (Zabbix/Wazuh)
8. Dashboard KPIs obsolescence (couverture, délai, conformité)
9. Rapport mensuel de gestion des patchs</t>
  </si>
  <si>
    <t>10. Politique de surveillance et de contrôle continu
11. Stratégie de détection alignée MITRE ATT&amp;CK
12. Matrice des cas d'usage de détection prioritaires</t>
  </si>
  <si>
    <t>13. Dossier de conception SOC Novatics (architecture Wazuh)
14. Catalogue des règles de détection (SIGMA/Wazuh)
15. Procédures d'escalade et de qualification des alertes</t>
  </si>
  <si>
    <t>16. Plan de test d'efficacité du SOC (Purple Team)
17. Scénarios de test basés sur MITRE ATT&amp;CK
18. Rapport d'évaluation avec métriques (MTTD, MTTR)</t>
  </si>
  <si>
    <t>19. Fiche d'analyse de vulnérabilité type (CVE)
20. Procédure de qualification et scoring CVSS
21. Rapport de veille vulnérabilités mensuel</t>
  </si>
  <si>
    <t>22. Plan de remédiation vulnérabilité critique (exemple CVE)
23. Procédure de correction d'urgence (hotfix)
24. Rapport de clôture et validation de remédiation</t>
  </si>
  <si>
    <t>1. Stratégie de communication de crise cyber Novatics
2. Annuaire de crise (contacts internes/externes/autorités)
3. Templates de messages (ANSSI, CNIL, presse, clients)</t>
  </si>
  <si>
    <t>4. Plan d'organisation de la cellule de crise
5. Fiches de poste cellule de crise (rôles et responsabilités)
6. Procédure d'activation et critères de déclenchement</t>
  </si>
  <si>
    <t>7. Programme d'exercices de crise annuel
8. Scénario d'exercice type (ransomware sur NCC)
9. Rapport post-exercice avec axes d'amélioration</t>
  </si>
  <si>
    <t>10. Procédure de qualification d'incident
11. Grille de classification (sévérité, impact, urgence)
12. Template de rapport d'analyse initiale</t>
  </si>
  <si>
    <t>13. Procédure d'endiguement et d'isolation réseau
14. Playbooks de réponse par type d'incident (ransomware, fuite, DDoS)
15. Checklist d'actions immédiates</t>
  </si>
  <si>
    <t>16. Procédure d'investigation forensique
17. Kit de collecte de preuves (outils, chain of custody)
18. Template de rapport d'analyse forensique</t>
  </si>
  <si>
    <t>19. Procédure d'éviction et d'éradication
20. Checklist de nettoyage des systèmes compromis
21. Rapport de confirmation d'éradication</t>
  </si>
  <si>
    <t>22. Plan de restauration du SI (par scénario de sinistre)
23. Procédure de retour à la normale
24. Checklist de validation post-restauration</t>
  </si>
  <si>
    <t>25. Template de rapport post-mortem (RETEX)
26. Méthodologie d'analyse des causes racines (5 Whys, Ishikawa)
27. Plan d'actions d'amélioration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</si>
</sst>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C]d\ mmmm\ yyyy;@"/>
  </numFmts>
  <fonts count="14" x14ac:knownFonts="1">
    <font>
      <sz val="11"/>
      <color theme="1"/>
      <name val="Calibri"/>
      <family val="2"/>
      <scheme val="minor"/>
    </font>
    <font>
      <b/>
      <sz val="11"/>
      <name val="Calibri"/>
    </font>
    <font>
      <b/>
      <sz val="11"/>
      <color rgb="FFFFFFFF"/>
      <name val="Calibri"/>
    </font>
    <font>
      <b/>
      <sz val="11"/>
      <color theme="0"/>
      <name val="Calibri"/>
      <family val="2"/>
      <scheme val="minor"/>
    </font>
    <font>
      <sz val="11"/>
      <color theme="0"/>
      <name val="Calibri"/>
      <family val="2"/>
      <scheme val="minor"/>
    </font>
    <font>
      <b/>
      <sz val="11"/>
      <color rgb="FFFFFFFF"/>
      <name val="Calibri"/>
      <family val="2"/>
    </font>
    <font>
      <b/>
      <sz val="11"/>
      <name val="Calibri"/>
      <family val="2"/>
    </font>
    <font>
      <b/>
      <sz val="12"/>
      <color rgb="FFFFFFFF"/>
      <name val="Calibri"/>
      <family val="2"/>
    </font>
    <font>
      <b/>
      <sz val="12"/>
      <color theme="1"/>
      <name val="Calibri"/>
      <family val="2"/>
      <scheme val="minor"/>
    </font>
    <font>
      <b/>
      <sz val="11"/>
      <color theme="1"/>
      <name val="Calibri"/>
      <family val="2"/>
      <scheme val="minor"/>
    </font>
    <font>
      <b/>
      <sz val="14"/>
      <color rgb="FFFFFFFF"/>
      <name val="Calibri"/>
      <family val="2"/>
    </font>
    <font>
      <sz val="14"/>
      <color theme="1"/>
      <name val="Calibri"/>
      <family val="2"/>
      <scheme val="minor"/>
    </font>
    <font>
      <b/>
      <sz val="14"/>
      <name val="Calibri"/>
      <family val="2"/>
    </font>
    <font>
      <b/>
      <sz val="11"/>
      <color rgb="FF00B050"/>
      <name val="Calibri"/>
      <family val="2"/>
      <scheme val="minor"/>
    </font>
  </fonts>
  <fills count="21">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9" tint="-0.249977111117893"/>
        <bgColor indexed="64"/>
      </patternFill>
    </fill>
    <fill>
      <patternFill patternType="solid">
        <fgColor rgb="FF00B050"/>
        <bgColor indexed="64"/>
      </patternFill>
    </fill>
    <fill>
      <patternFill patternType="solid">
        <fgColor rgb="FFFFC000"/>
        <bgColor indexed="64"/>
      </patternFill>
    </fill>
    <fill>
      <patternFill patternType="solid">
        <fgColor theme="5"/>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auto="1"/>
      </left>
      <right style="thin">
        <color auto="1"/>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14">
    <xf numFmtId="0" fontId="0" fillId="0" borderId="0" xfId="0"/>
    <xf numFmtId="0" fontId="0" fillId="0" borderId="0" xfId="0" applyAlignment="1">
      <alignment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0" fillId="0" borderId="6"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9" xfId="0" applyBorder="1" applyAlignment="1">
      <alignment horizontal="center"/>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8" fillId="0" borderId="0" xfId="0" applyFont="1"/>
    <xf numFmtId="0" fontId="1" fillId="0" borderId="2" xfId="0" applyFont="1"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textRotation="90" wrapText="1"/>
    </xf>
    <xf numFmtId="0" fontId="1" fillId="0" borderId="5" xfId="0" applyFont="1" applyBorder="1" applyAlignment="1">
      <alignment horizontal="center" vertical="center"/>
    </xf>
    <xf numFmtId="0" fontId="0" fillId="3" borderId="1" xfId="0" applyFill="1" applyBorder="1" applyAlignment="1">
      <alignment horizontal="center" vertical="center"/>
    </xf>
    <xf numFmtId="0" fontId="0" fillId="3" borderId="7" xfId="0" applyFill="1" applyBorder="1" applyAlignment="1">
      <alignment horizontal="left" vertical="center" wrapText="1"/>
    </xf>
    <xf numFmtId="0" fontId="0" fillId="0" borderId="7" xfId="0" applyBorder="1" applyAlignment="1">
      <alignment horizontal="center" vertical="center"/>
    </xf>
    <xf numFmtId="0" fontId="0" fillId="4" borderId="1" xfId="0" applyFill="1" applyBorder="1" applyAlignment="1">
      <alignment horizontal="center" vertical="center"/>
    </xf>
    <xf numFmtId="0" fontId="0" fillId="4" borderId="7" xfId="0" applyFill="1" applyBorder="1" applyAlignment="1">
      <alignment horizontal="left" vertical="center" wrapText="1"/>
    </xf>
    <xf numFmtId="0" fontId="4" fillId="2" borderId="1" xfId="0" applyFont="1" applyFill="1" applyBorder="1" applyAlignment="1">
      <alignment horizontal="center" vertical="center"/>
    </xf>
    <xf numFmtId="0" fontId="4" fillId="2" borderId="7" xfId="0" applyFont="1" applyFill="1" applyBorder="1" applyAlignment="1">
      <alignment horizontal="left" vertical="center" wrapText="1"/>
    </xf>
    <xf numFmtId="0" fontId="0" fillId="6" borderId="1" xfId="0" applyFill="1" applyBorder="1" applyAlignment="1">
      <alignment horizontal="center" vertical="center"/>
    </xf>
    <xf numFmtId="0" fontId="0" fillId="6" borderId="7" xfId="0" applyFill="1" applyBorder="1" applyAlignment="1">
      <alignment horizontal="left" vertical="center" wrapText="1"/>
    </xf>
    <xf numFmtId="0" fontId="0" fillId="7" borderId="1" xfId="0" applyFill="1" applyBorder="1" applyAlignment="1">
      <alignment horizontal="center" vertical="center"/>
    </xf>
    <xf numFmtId="0" fontId="0" fillId="7" borderId="7" xfId="0" applyFill="1" applyBorder="1" applyAlignment="1">
      <alignment horizontal="left" vertical="center" wrapText="1"/>
    </xf>
    <xf numFmtId="0" fontId="0" fillId="8" borderId="1" xfId="0" applyFill="1" applyBorder="1" applyAlignment="1">
      <alignment horizontal="center" vertical="center"/>
    </xf>
    <xf numFmtId="0" fontId="0" fillId="8" borderId="7" xfId="0" applyFill="1" applyBorder="1" applyAlignment="1">
      <alignment horizontal="left" vertical="center" wrapText="1"/>
    </xf>
    <xf numFmtId="0" fontId="0" fillId="10" borderId="1" xfId="0" applyFill="1" applyBorder="1" applyAlignment="1">
      <alignment horizontal="center" vertical="center"/>
    </xf>
    <xf numFmtId="0" fontId="0" fillId="10" borderId="7" xfId="0" applyFill="1" applyBorder="1" applyAlignment="1">
      <alignment horizontal="left" vertical="center" wrapText="1"/>
    </xf>
    <xf numFmtId="0" fontId="0" fillId="11" borderId="1" xfId="0" applyFill="1" applyBorder="1" applyAlignment="1">
      <alignment horizontal="center" vertical="center"/>
    </xf>
    <xf numFmtId="0" fontId="0" fillId="11" borderId="7" xfId="0" applyFill="1" applyBorder="1" applyAlignment="1">
      <alignment horizontal="left" vertical="center" wrapText="1"/>
    </xf>
    <xf numFmtId="0" fontId="4" fillId="12" borderId="1" xfId="0" applyFont="1" applyFill="1" applyBorder="1" applyAlignment="1">
      <alignment horizontal="center" vertical="center"/>
    </xf>
    <xf numFmtId="0" fontId="4" fillId="12" borderId="7" xfId="0" applyFont="1" applyFill="1" applyBorder="1" applyAlignment="1">
      <alignment horizontal="left" vertical="center" wrapText="1"/>
    </xf>
    <xf numFmtId="0" fontId="0" fillId="14" borderId="1" xfId="0" applyFill="1" applyBorder="1" applyAlignment="1">
      <alignment horizontal="center" vertical="center"/>
    </xf>
    <xf numFmtId="0" fontId="0" fillId="14" borderId="7" xfId="0" applyFill="1" applyBorder="1" applyAlignment="1">
      <alignment horizontal="left" vertical="center" wrapText="1"/>
    </xf>
    <xf numFmtId="0" fontId="0" fillId="15" borderId="1" xfId="0" applyFill="1" applyBorder="1" applyAlignment="1">
      <alignment horizontal="center" vertical="center"/>
    </xf>
    <xf numFmtId="0" fontId="0" fillId="15" borderId="7" xfId="0" applyFill="1" applyBorder="1" applyAlignment="1">
      <alignment horizontal="left" vertical="center" wrapText="1"/>
    </xf>
    <xf numFmtId="0" fontId="0" fillId="16" borderId="1" xfId="0" applyFill="1" applyBorder="1" applyAlignment="1">
      <alignment horizontal="center" vertical="center"/>
    </xf>
    <xf numFmtId="0" fontId="0" fillId="16" borderId="7" xfId="0" applyFill="1" applyBorder="1" applyAlignment="1">
      <alignment horizontal="left" vertical="center" wrapText="1"/>
    </xf>
    <xf numFmtId="0" fontId="0" fillId="16" borderId="3" xfId="0" applyFill="1" applyBorder="1" applyAlignment="1">
      <alignment horizontal="center" vertical="center"/>
    </xf>
    <xf numFmtId="0" fontId="0" fillId="16" borderId="9" xfId="0" applyFill="1" applyBorder="1" applyAlignment="1">
      <alignment horizontal="left" vertical="center" wrapText="1"/>
    </xf>
    <xf numFmtId="0" fontId="0" fillId="0" borderId="9" xfId="0" applyBorder="1" applyAlignment="1">
      <alignment horizontal="center" vertical="center"/>
    </xf>
    <xf numFmtId="0" fontId="0" fillId="0" borderId="0" xfId="0" applyAlignment="1">
      <alignment horizontal="left" vertical="center" wrapText="1"/>
    </xf>
    <xf numFmtId="0" fontId="6" fillId="0" borderId="5" xfId="0" applyFont="1" applyBorder="1" applyAlignment="1">
      <alignment horizontal="center" vertical="center" wrapText="1"/>
    </xf>
    <xf numFmtId="9" fontId="0" fillId="0" borderId="0" xfId="0" applyNumberFormat="1" applyAlignment="1">
      <alignment horizontal="center" vertical="center"/>
    </xf>
    <xf numFmtId="0" fontId="0" fillId="0" borderId="0" xfId="0" applyAlignment="1">
      <alignment horizontal="center" vertical="center" textRotation="90"/>
    </xf>
    <xf numFmtId="0" fontId="11" fillId="0" borderId="0" xfId="0" applyFont="1" applyAlignment="1">
      <alignment horizontal="left" vertical="center" wrapText="1"/>
    </xf>
    <xf numFmtId="0" fontId="11" fillId="0" borderId="0" xfId="0" applyFont="1" applyAlignment="1">
      <alignment horizontal="center" vertical="center" wrapText="1"/>
    </xf>
    <xf numFmtId="0" fontId="6" fillId="0" borderId="12" xfId="0" applyFont="1" applyBorder="1" applyAlignment="1">
      <alignment horizontal="center" vertical="center"/>
    </xf>
    <xf numFmtId="164" fontId="0" fillId="3" borderId="11"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4" fillId="2" borderId="11" xfId="0" applyNumberFormat="1" applyFont="1" applyFill="1" applyBorder="1" applyAlignment="1">
      <alignment horizontal="center" vertical="center"/>
    </xf>
    <xf numFmtId="164" fontId="0" fillId="6" borderId="11" xfId="0" applyNumberFormat="1" applyFill="1" applyBorder="1" applyAlignment="1">
      <alignment horizontal="center" vertical="center"/>
    </xf>
    <xf numFmtId="164" fontId="0" fillId="7" borderId="11" xfId="0" applyNumberFormat="1" applyFill="1" applyBorder="1" applyAlignment="1">
      <alignment horizontal="center" vertical="center"/>
    </xf>
    <xf numFmtId="164" fontId="0" fillId="8" borderId="11" xfId="0" applyNumberFormat="1" applyFill="1" applyBorder="1" applyAlignment="1">
      <alignment horizontal="center" vertical="center"/>
    </xf>
    <xf numFmtId="164" fontId="0" fillId="10" borderId="11" xfId="0" applyNumberFormat="1" applyFill="1" applyBorder="1" applyAlignment="1">
      <alignment horizontal="center" vertical="center"/>
    </xf>
    <xf numFmtId="164" fontId="0" fillId="11" borderId="11" xfId="0" applyNumberFormat="1" applyFill="1" applyBorder="1" applyAlignment="1">
      <alignment horizontal="center" vertical="center"/>
    </xf>
    <xf numFmtId="164" fontId="0" fillId="14" borderId="11" xfId="0" applyNumberFormat="1" applyFill="1" applyBorder="1" applyAlignment="1">
      <alignment horizontal="center" vertical="center"/>
    </xf>
    <xf numFmtId="164" fontId="0" fillId="15" borderId="11" xfId="0" applyNumberFormat="1" applyFill="1" applyBorder="1" applyAlignment="1">
      <alignment horizontal="center" vertical="center"/>
    </xf>
    <xf numFmtId="164" fontId="0" fillId="16" borderId="11" xfId="0" applyNumberFormat="1" applyFill="1" applyBorder="1" applyAlignment="1">
      <alignment horizontal="center" vertical="center"/>
    </xf>
    <xf numFmtId="164" fontId="4" fillId="12" borderId="11" xfId="0" applyNumberFormat="1" applyFont="1" applyFill="1" applyBorder="1" applyAlignment="1">
      <alignment horizontal="center" vertical="center"/>
    </xf>
    <xf numFmtId="0" fontId="9" fillId="3" borderId="11" xfId="0" applyFont="1" applyFill="1" applyBorder="1" applyAlignment="1">
      <alignment horizontal="center" vertical="center"/>
    </xf>
    <xf numFmtId="0" fontId="9" fillId="4" borderId="11" xfId="0" applyFont="1" applyFill="1" applyBorder="1" applyAlignment="1">
      <alignment horizontal="center" vertical="center"/>
    </xf>
    <xf numFmtId="0" fontId="3" fillId="2" borderId="11" xfId="0" applyFont="1" applyFill="1" applyBorder="1" applyAlignment="1">
      <alignment horizontal="center" vertical="center"/>
    </xf>
    <xf numFmtId="0" fontId="9" fillId="6" borderId="11" xfId="0" applyFont="1" applyFill="1" applyBorder="1" applyAlignment="1">
      <alignment horizontal="center" vertical="center"/>
    </xf>
    <xf numFmtId="0" fontId="9" fillId="7" borderId="11" xfId="0" applyFont="1" applyFill="1" applyBorder="1" applyAlignment="1">
      <alignment horizontal="center" vertical="center"/>
    </xf>
    <xf numFmtId="0" fontId="9" fillId="8" borderId="11" xfId="0" applyFont="1" applyFill="1" applyBorder="1" applyAlignment="1">
      <alignment horizontal="center" vertical="center"/>
    </xf>
    <xf numFmtId="0" fontId="9" fillId="10" borderId="11" xfId="0" applyFont="1" applyFill="1" applyBorder="1" applyAlignment="1">
      <alignment horizontal="center" vertical="center"/>
    </xf>
    <xf numFmtId="0" fontId="9" fillId="11" borderId="11" xfId="0" applyFont="1" applyFill="1" applyBorder="1" applyAlignment="1">
      <alignment horizontal="center" vertical="center"/>
    </xf>
    <xf numFmtId="0" fontId="3" fillId="12" borderId="11" xfId="0" applyFont="1" applyFill="1" applyBorder="1" applyAlignment="1">
      <alignment horizontal="center" vertical="center"/>
    </xf>
    <xf numFmtId="0" fontId="9" fillId="14" borderId="11" xfId="0" applyFont="1" applyFill="1" applyBorder="1" applyAlignment="1">
      <alignment horizontal="center" vertical="center"/>
    </xf>
    <xf numFmtId="0" fontId="9" fillId="15" borderId="11" xfId="0" applyFont="1" applyFill="1" applyBorder="1" applyAlignment="1">
      <alignment horizontal="center" vertical="center"/>
    </xf>
    <xf numFmtId="0" fontId="9" fillId="16" borderId="11" xfId="0" applyFont="1" applyFill="1" applyBorder="1" applyAlignment="1">
      <alignment horizontal="center" vertical="center"/>
    </xf>
    <xf numFmtId="0" fontId="1" fillId="0" borderId="12" xfId="0" applyFont="1" applyBorder="1" applyAlignment="1">
      <alignment horizontal="center" vertical="center"/>
    </xf>
    <xf numFmtId="1" fontId="0" fillId="0" borderId="11" xfId="0" applyNumberFormat="1" applyBorder="1" applyAlignment="1">
      <alignment horizontal="center" vertical="center"/>
    </xf>
    <xf numFmtId="0" fontId="10" fillId="18" borderId="13" xfId="0" applyFont="1" applyFill="1" applyBorder="1" applyAlignment="1">
      <alignment horizontal="center" vertical="center" wrapText="1"/>
    </xf>
    <xf numFmtId="0" fontId="10" fillId="18" borderId="14" xfId="0" applyFont="1" applyFill="1" applyBorder="1" applyAlignment="1">
      <alignment horizontal="center" vertical="center" wrapText="1"/>
    </xf>
    <xf numFmtId="0" fontId="10" fillId="18" borderId="15" xfId="0" applyFont="1" applyFill="1" applyBorder="1" applyAlignment="1">
      <alignment horizontal="center" vertical="center"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8" xfId="0" applyBorder="1" applyAlignment="1">
      <alignment horizontal="left" vertical="top" wrapText="1"/>
    </xf>
    <xf numFmtId="0" fontId="0" fillId="0" borderId="3" xfId="0" applyBorder="1" applyAlignment="1">
      <alignment horizontal="left" vertical="top"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2" fillId="19" borderId="13" xfId="0" applyFont="1" applyFill="1" applyBorder="1" applyAlignment="1">
      <alignment horizontal="center" vertical="center" wrapText="1"/>
    </xf>
    <xf numFmtId="0" fontId="12" fillId="19" borderId="14" xfId="0" applyFont="1" applyFill="1" applyBorder="1" applyAlignment="1">
      <alignment horizontal="center" vertical="center" wrapText="1"/>
    </xf>
    <xf numFmtId="0" fontId="12" fillId="19" borderId="15" xfId="0" applyFont="1" applyFill="1" applyBorder="1" applyAlignment="1">
      <alignment horizontal="center" vertical="center" wrapText="1"/>
    </xf>
    <xf numFmtId="0" fontId="10" fillId="20" borderId="13" xfId="0" applyFont="1" applyFill="1" applyBorder="1" applyAlignment="1">
      <alignment horizontal="center" vertical="center" wrapText="1"/>
    </xf>
    <xf numFmtId="0" fontId="10" fillId="20" borderId="14" xfId="0" applyFont="1" applyFill="1" applyBorder="1" applyAlignment="1">
      <alignment horizontal="center" vertical="center" wrapText="1"/>
    </xf>
    <xf numFmtId="0" fontId="10" fillId="20" borderId="15" xfId="0" applyFont="1" applyFill="1" applyBorder="1" applyAlignment="1">
      <alignment horizontal="center" vertical="center"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10" fillId="0" borderId="15" xfId="0" applyFont="1" applyBorder="1" applyAlignment="1">
      <alignment horizontal="center" vertical="center" wrapText="1"/>
    </xf>
    <xf numFmtId="0" fontId="0" fillId="0" borderId="4" xfId="0" applyBorder="1" applyAlignment="1">
      <alignment vertical="top" wrapText="1"/>
    </xf>
    <xf numFmtId="0" fontId="0" fillId="0" borderId="2"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3" xfId="0" applyBorder="1" applyAlignment="1">
      <alignment vertical="top" wrapText="1"/>
    </xf>
    <xf numFmtId="0" fontId="0" fillId="0" borderId="9" xfId="0" applyBorder="1" applyAlignment="1">
      <alignment vertical="top" wrapText="1"/>
    </xf>
    <xf numFmtId="0" fontId="13" fillId="0" borderId="5" xfId="0" applyFont="1" applyBorder="1" applyAlignment="1">
      <alignment horizontal="left" vertical="top" wrapText="1"/>
    </xf>
    <xf numFmtId="0" fontId="3" fillId="5" borderId="10" xfId="0" applyFont="1" applyFill="1" applyBorder="1" applyAlignment="1">
      <alignment horizontal="center" vertical="center" textRotation="90"/>
    </xf>
    <xf numFmtId="0" fontId="3" fillId="9" borderId="10" xfId="0" applyFont="1" applyFill="1" applyBorder="1" applyAlignment="1">
      <alignment horizontal="center" vertical="center" textRotation="90"/>
    </xf>
    <xf numFmtId="0" fontId="3" fillId="13" borderId="10" xfId="0" applyFont="1" applyFill="1" applyBorder="1" applyAlignment="1">
      <alignment horizontal="center" vertical="center" textRotation="90"/>
    </xf>
    <xf numFmtId="0" fontId="3" fillId="17" borderId="10" xfId="0" applyFont="1" applyFill="1" applyBorder="1" applyAlignment="1">
      <alignment horizontal="center" vertical="center" textRotation="90"/>
    </xf>
  </cellXfs>
  <cellStyles count="1">
    <cellStyle name="Normal" xfId="0" builtinId="0"/>
  </cellStyles>
  <dxfs count="77">
    <dxf>
      <font>
        <b/>
        <i val="0"/>
        <color rgb="FFC00000"/>
      </font>
      <fill>
        <patternFill>
          <bgColor theme="5" tint="0.59996337778862885"/>
        </patternFill>
      </fill>
    </dxf>
    <dxf>
      <font>
        <b/>
        <i val="0"/>
        <color theme="9" tint="-0.499984740745262"/>
      </font>
      <fill>
        <patternFill>
          <bgColor theme="9" tint="0.59996337778862885"/>
        </patternFill>
      </fill>
    </dxf>
    <dxf>
      <font>
        <b/>
        <i val="0"/>
        <color theme="6" tint="-0.499984740745262"/>
      </font>
      <fill>
        <patternFill>
          <bgColor theme="6" tint="0.59996337778862885"/>
        </patternFill>
      </fill>
    </dxf>
    <dxf>
      <font>
        <b/>
        <i val="0"/>
        <color theme="0"/>
      </font>
      <fill>
        <patternFill>
          <bgColor rgb="FFC00000"/>
        </patternFill>
      </fill>
    </dxf>
    <dxf>
      <font>
        <b/>
        <i val="0"/>
        <color theme="0"/>
      </font>
      <fill>
        <patternFill>
          <bgColor rgb="FF0070C0"/>
        </patternFill>
      </fill>
    </dxf>
    <dxf>
      <font>
        <b/>
        <i val="0"/>
      </font>
      <fill>
        <patternFill>
          <bgColor rgb="FFFFC000"/>
        </patternFill>
      </fill>
    </dxf>
    <dxf>
      <font>
        <b/>
        <i val="0"/>
        <color theme="0"/>
      </font>
      <fill>
        <patternFill>
          <bgColor rgb="FF00B050"/>
        </patternFill>
      </fill>
    </dxf>
    <dxf>
      <font>
        <b/>
        <i val="0"/>
        <color theme="0"/>
      </font>
      <fill>
        <patternFill>
          <bgColor theme="0" tint="-0.499984740745262"/>
        </patternFill>
      </fill>
    </dxf>
    <dxf>
      <fill>
        <patternFill patternType="none">
          <fgColor indexed="64"/>
          <bgColor auto="1"/>
        </patternFill>
      </fill>
      <alignment horizontal="center" textRotation="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textRotation="0" indent="0" justifyLastLine="0" shrinkToFit="0" readingOrder="0"/>
    </dxf>
    <dxf>
      <border>
        <bottom style="thin">
          <color indexed="64"/>
        </bottom>
      </border>
    </dxf>
    <dxf>
      <font>
        <b/>
        <i val="0"/>
        <strike val="0"/>
        <condense val="0"/>
        <extend val="0"/>
        <outline val="0"/>
        <shadow val="0"/>
        <u val="none"/>
        <vertAlign val="baseline"/>
        <sz val="12"/>
        <color rgb="FFFFFFFF"/>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fgColor indexed="64"/>
          <bgColor indexed="65"/>
        </patternFill>
      </fill>
      <alignment horizontal="left" vertical="top" textRotation="0" wrapText="1" indent="0" justifyLastLine="0" shrinkToFit="0" readingOrder="0"/>
      <border outline="0">
        <left style="thin">
          <color indexed="64"/>
        </left>
        <right/>
        <top style="thin">
          <color indexed="64"/>
        </top>
        <bottom style="thin">
          <color indexed="64"/>
        </bottom>
      </border>
    </dxf>
    <dxf>
      <fill>
        <patternFill>
          <fgColor indexed="64"/>
          <bgColor indexed="65"/>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left" vertical="top"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medium">
          <color indexed="64"/>
        </left>
        <right style="medium">
          <color indexed="64"/>
        </right>
        <top style="medium">
          <color indexed="64"/>
        </top>
        <bottom style="medium">
          <color indexed="64"/>
        </bottom>
      </border>
    </dxf>
    <dxf>
      <fill>
        <patternFill>
          <fgColor indexed="64"/>
          <bgColor indexed="65"/>
        </patternFill>
      </fill>
      <alignment horizontal="left" vertical="top" textRotation="0" wrapText="1" indent="0" justifyLastLine="0" shrinkToFit="0" readingOrder="0"/>
    </dxf>
    <dxf>
      <border>
        <bottom style="medium">
          <color indexed="64"/>
        </bottom>
      </border>
    </dxf>
    <dxf>
      <font>
        <b/>
        <strike val="0"/>
        <condense val="0"/>
        <extend val="0"/>
        <outline val="0"/>
        <shadow val="0"/>
        <vertAlign val="baseline"/>
        <sz val="14"/>
        <color rgb="FFFFFFFF"/>
        <name val="Calibri"/>
        <family val="2"/>
      </font>
      <fill>
        <patternFill patternType="solid">
          <fgColor indexed="64"/>
          <bgColor theme="5"/>
        </patternFill>
      </fill>
      <alignment horizontal="center" vertical="center" wrapText="1"/>
      <border>
        <left style="thin">
          <color indexed="64"/>
        </left>
        <right style="thin">
          <color indexed="64"/>
        </right>
        <top/>
        <bottom/>
        <vertical style="thin">
          <color indexed="64"/>
        </vertical>
        <horizontal/>
      </border>
    </dxf>
    <dxf>
      <fill>
        <patternFill>
          <fgColor indexed="64"/>
          <bgColor indexed="65"/>
        </patternFill>
      </fill>
      <alignment horizontal="general" vertical="top" textRotation="0" wrapText="1" indent="0" justifyLastLine="0" shrinkToFit="0" readingOrder="0"/>
      <border outline="0">
        <left style="thin">
          <color indexed="64"/>
        </left>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medium">
          <color indexed="64"/>
        </left>
        <right style="medium">
          <color indexed="64"/>
        </right>
        <top style="medium">
          <color indexed="64"/>
        </top>
        <bottom style="medium">
          <color indexed="64"/>
        </bottom>
      </border>
    </dxf>
    <dxf>
      <fill>
        <patternFill>
          <fgColor indexed="64"/>
          <bgColor indexed="65"/>
        </patternFill>
      </fill>
      <alignment horizontal="general" vertical="top" textRotation="0" wrapText="1" indent="0" justifyLastLine="0" shrinkToFit="0" readingOrder="0"/>
    </dxf>
    <dxf>
      <border>
        <bottom style="medium">
          <color indexed="64"/>
        </bottom>
      </border>
    </dxf>
    <dxf>
      <font>
        <b/>
        <strike val="0"/>
        <condense val="0"/>
        <extend val="0"/>
        <outline val="0"/>
        <shadow val="0"/>
        <vertAlign val="baseline"/>
        <sz val="14"/>
        <color auto="1"/>
        <name val="Calibri"/>
        <family val="2"/>
      </font>
      <fill>
        <patternFill patternType="solid">
          <fgColor indexed="64"/>
          <bgColor rgb="FFFFC000"/>
        </patternFill>
      </fill>
      <alignment horizontal="center" vertical="center" wrapText="1"/>
      <border>
        <left style="thin">
          <color indexed="64"/>
        </left>
        <right style="thin">
          <color indexed="64"/>
        </right>
        <top/>
        <bottom/>
        <vertical style="thin">
          <color indexed="64"/>
        </vertical>
        <horizontal/>
      </border>
    </dxf>
    <dxf>
      <alignment horizontal="general" vertical="top" textRotation="0" wrapText="1" indent="0" justifyLastLine="0" shrinkToFit="0" readingOrder="0"/>
      <border outline="0">
        <left style="thin">
          <color indexed="64"/>
        </left>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indexed="65"/>
        </patternFill>
      </fill>
      <alignment horizontal="general" vertical="top"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border>
        <bottom style="medium">
          <color indexed="64"/>
        </bottom>
      </border>
    </dxf>
    <dxf>
      <font>
        <b/>
        <strike val="0"/>
        <condense val="0"/>
        <extend val="0"/>
        <outline val="0"/>
        <shadow val="0"/>
        <vertAlign val="baseline"/>
        <sz val="14"/>
        <color rgb="FFFFFFFF"/>
        <name val="Calibri"/>
        <family val="2"/>
      </font>
      <fill>
        <patternFill>
          <fgColor indexed="64"/>
          <bgColor indexed="65"/>
        </patternFill>
      </fill>
      <alignment horizontal="center" vertical="center" wrapText="1"/>
      <border>
        <left style="thin">
          <color indexed="64"/>
        </left>
        <right style="thin">
          <color indexed="64"/>
        </right>
        <top/>
        <bottom/>
        <vertical style="thin">
          <color indexed="64"/>
        </vertical>
        <horizontal/>
      </border>
    </dxf>
    <dxf>
      <fill>
        <patternFill>
          <fgColor indexed="64"/>
          <bgColor auto="1"/>
        </patternFill>
      </fill>
      <alignment horizontal="left" vertical="top" textRotation="0" wrapText="1" indent="0" justifyLastLine="0" shrinkToFit="0" readingOrder="0"/>
      <border outline="0">
        <left style="thin">
          <color indexed="64"/>
        </left>
        <right/>
        <top style="thin">
          <color indexed="64"/>
        </top>
        <bottom style="thin">
          <color indexed="64"/>
        </bottom>
      </border>
    </dxf>
    <dxf>
      <fill>
        <patternFill>
          <fgColor indexed="64"/>
          <bgColor auto="1"/>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auto="1"/>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auto="1"/>
        </patternFill>
      </fill>
      <alignment horizontal="left" vertical="top" textRotation="0" wrapText="1" indent="0" justifyLastLine="0" shrinkToFit="0" readingOrder="0"/>
      <border outline="0">
        <left style="thin">
          <color indexed="64"/>
        </left>
        <right style="thin">
          <color indexed="64"/>
        </right>
        <top style="thin">
          <color indexed="64"/>
        </top>
        <bottom style="thin">
          <color indexed="64"/>
        </bottom>
      </border>
    </dxf>
    <dxf>
      <fill>
        <patternFill>
          <fgColor indexed="64"/>
          <bgColor auto="1"/>
        </patternFill>
      </fill>
      <alignment horizontal="left" vertical="top" textRotation="0" wrapText="1" indent="0" justifyLastLine="0" shrinkToFit="0" readingOrder="0"/>
      <border outline="0">
        <left/>
        <right style="thin">
          <color indexed="64"/>
        </right>
        <top style="thin">
          <color indexed="64"/>
        </top>
        <bottom style="thin">
          <color indexed="64"/>
        </bottom>
      </border>
    </dxf>
    <dxf>
      <border>
        <top style="thin">
          <color indexed="64"/>
        </top>
      </border>
    </dxf>
    <dxf>
      <border>
        <left style="medium">
          <color indexed="64"/>
        </left>
        <right style="medium">
          <color indexed="64"/>
        </right>
        <top style="medium">
          <color indexed="64"/>
        </top>
        <bottom style="medium">
          <color indexed="64"/>
        </bottom>
      </border>
    </dxf>
    <dxf>
      <fill>
        <patternFill>
          <fgColor indexed="64"/>
          <bgColor auto="1"/>
        </patternFill>
      </fill>
      <alignment horizontal="left" vertical="top" textRotation="0" wrapText="1" indent="0" justifyLastLine="0" shrinkToFit="0" readingOrder="0"/>
    </dxf>
    <dxf>
      <border>
        <bottom style="medium">
          <color indexed="64"/>
        </bottom>
      </border>
    </dxf>
    <dxf>
      <font>
        <b/>
        <strike val="0"/>
        <condense val="0"/>
        <extend val="0"/>
        <outline val="0"/>
        <shadow val="0"/>
        <vertAlign val="baseline"/>
        <sz val="14"/>
        <color rgb="FFFFFFFF"/>
        <name val="Calibri"/>
        <family val="2"/>
      </font>
      <fill>
        <patternFill patternType="solid">
          <fgColor indexed="64"/>
          <bgColor rgb="FF00B050"/>
        </patternFill>
      </fill>
      <alignment horizontal="center" vertical="center" wrapText="1"/>
      <border>
        <left style="thin">
          <color indexed="64"/>
        </left>
        <right style="thin">
          <color indexed="64"/>
        </right>
        <top/>
        <bottom/>
        <vertical style="thin">
          <color indexed="64"/>
        </vertical>
        <horizontal/>
      </border>
    </dxf>
    <dxf>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font>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64" formatCode="[$-40C]d\ mmmm\ yyyy;@"/>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top style="thin">
          <color theme="1"/>
        </top>
        <bottom style="thin">
          <color theme="1"/>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theme="1"/>
        </right>
        <top style="thin">
          <color indexed="64"/>
        </top>
        <bottom style="thin">
          <color indexed="64"/>
        </bottom>
      </border>
    </dxf>
    <dxf>
      <fill>
        <patternFill patternType="solid">
          <fgColor indexed="64"/>
          <bgColor theme="9"/>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center" vertical="center" indent="0" justifyLastLine="0" shrinkToFit="0" readingOrder="0"/>
    </dxf>
    <dxf>
      <fill>
        <patternFill patternType="none">
          <fgColor indexed="64"/>
          <bgColor indexed="65"/>
        </patternFill>
      </fill>
      <alignment horizontal="center" vertical="center" indent="0" justifyLastLine="0" shrinkToFit="0" readingOrder="0"/>
    </dxf>
    <dxf>
      <border outline="0">
        <top style="thin">
          <color auto="1"/>
        </top>
      </border>
    </dxf>
    <dxf>
      <fill>
        <patternFill patternType="none">
          <fgColor indexed="64"/>
          <bgColor indexed="65"/>
        </patternFill>
      </fill>
      <alignment horizontal="center" vertical="center"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79CCA-6333-4E9E-BA04-66109C3543FD}" name="Tableau2" displayName="Tableau2" ref="A1:B8" totalsRowShown="0" headerRowDxfId="76" dataDxfId="74" headerRowBorderDxfId="75" tableBorderDxfId="73">
  <autoFilter ref="A1:B8" xr:uid="{21979CCA-6333-4E9E-BA04-66109C3543FD}"/>
  <tableColumns count="2">
    <tableColumn id="1" xr3:uid="{D9D6EE07-4FFC-45A6-8E92-4A74D57EC445}" name="Métrique" dataDxfId="72"/>
    <tableColumn id="2" xr3:uid="{A47BD8D5-D8F4-4FA3-9DE9-7FDE0E0068C6}" name="Valeur" dataDxfId="7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6C9671-CEBE-4469-BDCD-8507FB71A1DC}" name="Tableau5" displayName="Tableau5" ref="E1:J37" totalsRowShown="0" headerRowDxfId="70" dataDxfId="68" headerRowBorderDxfId="69" tableBorderDxfId="67" totalsRowBorderDxfId="66">
  <autoFilter ref="E1:J37" xr:uid="{1D6C9671-CEBE-4469-BDCD-8507FB71A1DC}"/>
  <tableColumns count="6">
    <tableColumn id="3" xr3:uid="{B334E74E-539E-4B36-BD5D-427A38A182E7}" name="Compétence" dataDxfId="65"/>
    <tableColumn id="9" xr3:uid="{1EC93DFF-8A32-428F-A87E-F8020D8B1F41}" name="Livrables" dataDxfId="64"/>
    <tableColumn id="4" xr3:uid="{46666F9D-A2EA-496B-905B-9BF75FA2B4FB}" name="Statut" dataDxfId="63"/>
    <tableColumn id="1" xr3:uid="{9441C203-99B2-4F74-813C-8E9837023307}" name="Deadline" dataDxfId="62"/>
    <tableColumn id="5" xr3:uid="{1E371068-143E-42A0-AD69-5DBBAC6FB448}" name="Priorité" dataDxfId="61"/>
    <tableColumn id="6" xr3:uid="{DF7AFC58-8AA8-4B5C-9018-0924A3783FF7}" name="Jours restants" dataDxfId="60">
      <calculatedColumnFormula>MAX(0, H2-TODAY())</calculatedColumnFormula>
    </tableColumn>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1141FD3-EF95-4BB2-97F2-53089C07D94D}" name="Tableau19" displayName="Tableau19" ref="B2:F12" totalsRowShown="0" headerRowDxfId="59" dataDxfId="57" headerRowBorderDxfId="58" tableBorderDxfId="56" totalsRowBorderDxfId="55">
  <autoFilter ref="B2:F12" xr:uid="{81141FD3-EF95-4BB2-97F2-53089C07D94D}"/>
  <tableColumns count="5">
    <tableColumn id="1" xr3:uid="{CA918B99-4C50-4C69-855C-32562C76C90A}" name="Activité" dataDxfId="54"/>
    <tableColumn id="2" xr3:uid="{58306F4A-3E47-42CD-A861-4A21809504A9}" name="Compétence" dataDxfId="53"/>
    <tableColumn id="3" xr3:uid="{3B412581-0950-44B3-A77B-3C6CD2E6F4A1}" name="Description" dataDxfId="52"/>
    <tableColumn id="4" xr3:uid="{35396E36-4AE7-42E1-A480-BA3E5024F993}" name="Livrable attendu" dataDxfId="51"/>
    <tableColumn id="5" xr3:uid="{E9DC428B-59AB-4884-9D7D-3FADAC95D827}" name="Livrables réels" dataDxfId="50"/>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8EA8BDD-2E46-4269-8968-4305469869EE}" name="Tableau310" displayName="Tableau310" ref="B2:F11" totalsRowShown="0" headerRowDxfId="49" dataDxfId="47" headerRowBorderDxfId="48" tableBorderDxfId="46" totalsRowBorderDxfId="45">
  <autoFilter ref="B2:F11" xr:uid="{F8EA8BDD-2E46-4269-8968-4305469869EE}"/>
  <tableColumns count="5">
    <tableColumn id="1" xr3:uid="{17F52C99-E9F6-4524-B444-4F6DD259B6DB}" name="Activité" dataDxfId="44"/>
    <tableColumn id="2" xr3:uid="{3838F1C2-08E6-4106-8452-118394A2D723}" name="Compétence" dataDxfId="43"/>
    <tableColumn id="3" xr3:uid="{3A574C0E-5024-4639-BB84-A0A4E5359925}" name="Description" dataDxfId="42"/>
    <tableColumn id="4" xr3:uid="{CFD295A3-B8C9-4B27-9EA9-E6F26A05B3FA}" name="Livrable attendu" dataDxfId="41"/>
    <tableColumn id="5" xr3:uid="{4DF31D58-8A71-4BDD-8B4B-5468E26CDA61}" name="Livrables réels" dataDxfId="40"/>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A6491F-1C5A-4B5F-B0DC-483FA6FFB81F}" name="Tableau611" displayName="Tableau611" ref="B2:F10" totalsRowShown="0" headerRowDxfId="39" dataDxfId="37" headerRowBorderDxfId="38" tableBorderDxfId="36" totalsRowBorderDxfId="35">
  <autoFilter ref="B2:F10" xr:uid="{CAA6491F-1C5A-4B5F-B0DC-483FA6FFB81F}"/>
  <tableColumns count="5">
    <tableColumn id="1" xr3:uid="{1C15630B-6FA9-4ECB-8D2E-E3C79E4D7C2D}" name="Activité" dataDxfId="34"/>
    <tableColumn id="2" xr3:uid="{FE55D83E-CE68-4295-8064-B558730F36E4}" name="Compétence" dataDxfId="33"/>
    <tableColumn id="3" xr3:uid="{0DAF9480-3961-450B-89F5-EE53D3AA2FE9}" name="Description" dataDxfId="32"/>
    <tableColumn id="4" xr3:uid="{E4D53E84-42AD-4C14-B4AD-C73B92E85DA5}" name="Livrable attendu" dataDxfId="31"/>
    <tableColumn id="5" xr3:uid="{375CF209-7FD7-4580-8030-4B245A823A34}" name="Livrables réels" dataDxfId="30"/>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77D34B4-1AF4-4F2B-80DE-779910EA987B}" name="Tableau712" displayName="Tableau712" ref="B2:F11" totalsRowShown="0" headerRowDxfId="29" dataDxfId="27" headerRowBorderDxfId="28" tableBorderDxfId="26" totalsRowBorderDxfId="25">
  <autoFilter ref="B2:F11" xr:uid="{477D34B4-1AF4-4F2B-80DE-779910EA987B}"/>
  <tableColumns count="5">
    <tableColumn id="1" xr3:uid="{AD0A3F10-35F1-4625-B777-6E6C04A3AE53}" name="Activité" dataDxfId="24"/>
    <tableColumn id="2" xr3:uid="{1704B548-90AB-48A2-A44F-E575B176CB27}" name="Compétence" dataDxfId="23"/>
    <tableColumn id="3" xr3:uid="{D017CE11-C1BB-4408-9A7B-53D8BE6C9AC7}" name="Description" dataDxfId="22"/>
    <tableColumn id="4" xr3:uid="{A7E35106-E6E0-49FB-BC3D-AE0196513FBF}" name="Livrable attendu" dataDxfId="21"/>
    <tableColumn id="5" xr3:uid="{E82422EF-3E62-4B9F-A4D4-22C005658C96}" name="Livrables réels" dataDxfId="20"/>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66D719-E86F-48AE-B273-175044D1E70D}" name="Tableau4" displayName="Tableau4" ref="A1:G9" totalsRowShown="0" headerRowDxfId="19" dataDxfId="17" headerRowBorderDxfId="18" tableBorderDxfId="16" totalsRowBorderDxfId="15">
  <autoFilter ref="A1:G9" xr:uid="{F066D719-E86F-48AE-B273-175044D1E70D}"/>
  <tableColumns count="7">
    <tableColumn id="1" xr3:uid="{D2580CF5-0C34-4621-BEF5-156A3984BCA4}" name="Statuts" dataDxfId="14"/>
    <tableColumn id="2" xr3:uid="{2918B53A-EDD2-407F-8567-80A66367AAA8}" name="Priorités" dataDxfId="13"/>
    <tableColumn id="3" xr3:uid="{F0919850-1269-46AA-8FA1-89284C1292A5}" name="Types_Livrables" dataDxfId="12"/>
    <tableColumn id="4" xr3:uid="{483AE188-BF2C-473B-9FEC-11B49B5F2783}" name="Formats" dataDxfId="11"/>
    <tableColumn id="5" xr3:uid="{4F69DCFA-D41F-4C29-A0E6-1C17A1D57032}" name="Responsables" dataDxfId="10"/>
    <tableColumn id="6" xr3:uid="{6D97C65D-A105-415F-82B0-A1F0B1AD0B7C}" name="Technologies_Safyra" dataDxfId="9"/>
    <tableColumn id="7" xr3:uid="{CF7203A4-DB36-4154-ABCD-28712D89E47F}" name="Standards" dataDxfId="8"/>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zoomScale="85" zoomScaleNormal="85" workbookViewId="0">
      <selection activeCell="L6" sqref="L6"/>
    </sheetView>
  </sheetViews>
  <sheetFormatPr baseColWidth="10" defaultColWidth="28.42578125" defaultRowHeight="32.25" customHeight="1" x14ac:dyDescent="0.25"/>
  <cols>
    <col min="1" max="1" width="28.42578125" style="15"/>
    <col min="2" max="2" width="13.140625" style="15" customWidth="1"/>
    <col min="3" max="3" width="11.28515625" style="15" customWidth="1"/>
    <col min="4" max="4" width="5" style="49" customWidth="1"/>
    <col min="5" max="5" width="16.85546875" style="15" bestFit="1" customWidth="1"/>
    <col min="6" max="6" width="70" style="46" customWidth="1"/>
    <col min="7" max="7" width="28.42578125" style="15"/>
    <col min="8" max="10" width="22.28515625" style="15" customWidth="1"/>
    <col min="11" max="16384" width="28.42578125" style="15"/>
  </cols>
  <sheetData>
    <row r="1" spans="1:10" ht="32.25" customHeight="1" x14ac:dyDescent="0.25">
      <c r="A1" s="2" t="s">
        <v>0</v>
      </c>
      <c r="B1" s="2" t="s">
        <v>1</v>
      </c>
      <c r="C1" s="3"/>
      <c r="D1" s="16"/>
      <c r="E1" s="14" t="s">
        <v>10</v>
      </c>
      <c r="F1" s="47" t="s">
        <v>224</v>
      </c>
      <c r="G1" s="17" t="s">
        <v>11</v>
      </c>
      <c r="H1" s="52" t="s">
        <v>91</v>
      </c>
      <c r="I1" s="52" t="s">
        <v>92</v>
      </c>
      <c r="J1" s="77" t="s">
        <v>228</v>
      </c>
    </row>
    <row r="2" spans="1:10" ht="32.25" customHeight="1" x14ac:dyDescent="0.25">
      <c r="A2" s="15" t="s">
        <v>2</v>
      </c>
      <c r="B2" s="15">
        <f>ROWS(Tableau5[Statut])</f>
        <v>36</v>
      </c>
      <c r="D2" s="110" t="s">
        <v>12</v>
      </c>
      <c r="E2" s="18" t="s">
        <v>13</v>
      </c>
      <c r="F2" s="19" t="s">
        <v>225</v>
      </c>
      <c r="G2" s="20" t="s">
        <v>202</v>
      </c>
      <c r="H2" s="53">
        <v>45955</v>
      </c>
      <c r="I2" s="65" t="s">
        <v>97</v>
      </c>
      <c r="J2" s="78">
        <f t="shared" ref="J2:J37" ca="1" si="0">MAX(0, H2-TODAY())</f>
        <v>0</v>
      </c>
    </row>
    <row r="3" spans="1:10" ht="32.25" customHeight="1" x14ac:dyDescent="0.25">
      <c r="A3" s="15" t="s">
        <v>3</v>
      </c>
      <c r="B3" s="15">
        <f>COUNTIF(Tableau5[Statut],Config!A5)</f>
        <v>1</v>
      </c>
      <c r="D3" s="110"/>
      <c r="E3" s="18" t="s">
        <v>15</v>
      </c>
      <c r="F3" s="19" t="s">
        <v>56</v>
      </c>
      <c r="G3" s="20" t="s">
        <v>93</v>
      </c>
      <c r="H3" s="53">
        <v>45962</v>
      </c>
      <c r="I3" s="65" t="s">
        <v>97</v>
      </c>
      <c r="J3" s="78">
        <f t="shared" ca="1" si="0"/>
        <v>0</v>
      </c>
    </row>
    <row r="4" spans="1:10" ht="32.25" customHeight="1" x14ac:dyDescent="0.25">
      <c r="A4" s="15" t="s">
        <v>4</v>
      </c>
      <c r="B4" s="15">
        <f>COUNTIF(Tableau5[Statut],Config!A3)</f>
        <v>1</v>
      </c>
      <c r="D4" s="110"/>
      <c r="E4" s="18" t="s">
        <v>16</v>
      </c>
      <c r="F4" s="19" t="s">
        <v>57</v>
      </c>
      <c r="G4" s="20" t="s">
        <v>14</v>
      </c>
      <c r="H4" s="53">
        <v>45966</v>
      </c>
      <c r="I4" s="65" t="s">
        <v>95</v>
      </c>
      <c r="J4" s="78">
        <f t="shared" ca="1" si="0"/>
        <v>0</v>
      </c>
    </row>
    <row r="5" spans="1:10" ht="32.25" customHeight="1" x14ac:dyDescent="0.25">
      <c r="A5" s="15" t="s">
        <v>5</v>
      </c>
      <c r="B5" s="15">
        <f>COUNTIF(Tableau5[Statut],Config!A2)</f>
        <v>34</v>
      </c>
      <c r="D5" s="110"/>
      <c r="E5" s="18" t="s">
        <v>17</v>
      </c>
      <c r="F5" s="19" t="s">
        <v>58</v>
      </c>
      <c r="G5" s="20" t="s">
        <v>14</v>
      </c>
      <c r="H5" s="53">
        <v>45971</v>
      </c>
      <c r="I5" s="65" t="s">
        <v>97</v>
      </c>
      <c r="J5" s="78">
        <f t="shared" ca="1" si="0"/>
        <v>0</v>
      </c>
    </row>
    <row r="6" spans="1:10" ht="32.25" customHeight="1" x14ac:dyDescent="0.25">
      <c r="A6" s="15" t="s">
        <v>6</v>
      </c>
      <c r="B6" s="48">
        <f>COUNTIF(Tableau5[Statut],Config!A5)/ROWS(Tableau5[Statut])</f>
        <v>2.7777777777777776E-2</v>
      </c>
      <c r="D6" s="110"/>
      <c r="E6" s="21" t="s">
        <v>18</v>
      </c>
      <c r="F6" s="22" t="s">
        <v>59</v>
      </c>
      <c r="G6" s="20" t="s">
        <v>14</v>
      </c>
      <c r="H6" s="54">
        <v>45976</v>
      </c>
      <c r="I6" s="66" t="s">
        <v>97</v>
      </c>
      <c r="J6" s="78">
        <f t="shared" ca="1" si="0"/>
        <v>0</v>
      </c>
    </row>
    <row r="7" spans="1:10" ht="32.25" customHeight="1" x14ac:dyDescent="0.25">
      <c r="A7" s="15" t="s">
        <v>7</v>
      </c>
      <c r="B7" s="15">
        <f ca="1">_xlfn.DAYS("2026-01-15", TODAY())</f>
        <v>39</v>
      </c>
      <c r="D7" s="110"/>
      <c r="E7" s="21" t="s">
        <v>19</v>
      </c>
      <c r="F7" s="22" t="s">
        <v>60</v>
      </c>
      <c r="G7" s="20" t="s">
        <v>14</v>
      </c>
      <c r="H7" s="54">
        <v>45981</v>
      </c>
      <c r="I7" s="66" t="s">
        <v>95</v>
      </c>
      <c r="J7" s="78">
        <f t="shared" ca="1" si="0"/>
        <v>0</v>
      </c>
    </row>
    <row r="8" spans="1:10" ht="32.25" customHeight="1" x14ac:dyDescent="0.25">
      <c r="A8" s="15" t="s">
        <v>8</v>
      </c>
      <c r="B8" s="15">
        <f ca="1">_xlfn.DAYS("2026-06-15", TODAY())</f>
        <v>190</v>
      </c>
      <c r="D8" s="110"/>
      <c r="E8" s="21" t="s">
        <v>20</v>
      </c>
      <c r="F8" s="22" t="s">
        <v>61</v>
      </c>
      <c r="G8" s="20" t="s">
        <v>14</v>
      </c>
      <c r="H8" s="54">
        <v>45986</v>
      </c>
      <c r="I8" s="66" t="s">
        <v>95</v>
      </c>
      <c r="J8" s="78">
        <f t="shared" ca="1" si="0"/>
        <v>0</v>
      </c>
    </row>
    <row r="9" spans="1:10" ht="32.25" customHeight="1" x14ac:dyDescent="0.25">
      <c r="D9" s="110"/>
      <c r="E9" s="23" t="s">
        <v>21</v>
      </c>
      <c r="F9" s="24" t="s">
        <v>62</v>
      </c>
      <c r="G9" s="20" t="s">
        <v>14</v>
      </c>
      <c r="H9" s="55">
        <v>45991</v>
      </c>
      <c r="I9" s="67" t="s">
        <v>97</v>
      </c>
      <c r="J9" s="78">
        <f t="shared" ca="1" si="0"/>
        <v>0</v>
      </c>
    </row>
    <row r="10" spans="1:10" ht="32.25" customHeight="1" x14ac:dyDescent="0.25">
      <c r="D10" s="110"/>
      <c r="E10" s="23" t="s">
        <v>22</v>
      </c>
      <c r="F10" s="24" t="s">
        <v>63</v>
      </c>
      <c r="G10" s="20" t="s">
        <v>14</v>
      </c>
      <c r="H10" s="55">
        <v>45996</v>
      </c>
      <c r="I10" s="67" t="s">
        <v>95</v>
      </c>
      <c r="J10" s="78">
        <f t="shared" ca="1" si="0"/>
        <v>0</v>
      </c>
    </row>
    <row r="11" spans="1:10" ht="32.25" customHeight="1" x14ac:dyDescent="0.25">
      <c r="D11" s="110"/>
      <c r="E11" s="23" t="s">
        <v>23</v>
      </c>
      <c r="F11" s="24" t="s">
        <v>64</v>
      </c>
      <c r="G11" s="20" t="s">
        <v>14</v>
      </c>
      <c r="H11" s="55">
        <v>46001</v>
      </c>
      <c r="I11" s="67" t="s">
        <v>95</v>
      </c>
      <c r="J11" s="78">
        <f t="shared" ca="1" si="0"/>
        <v>3</v>
      </c>
    </row>
    <row r="12" spans="1:10" ht="32.25" customHeight="1" x14ac:dyDescent="0.25">
      <c r="D12" s="111" t="s">
        <v>24</v>
      </c>
      <c r="E12" s="25" t="s">
        <v>25</v>
      </c>
      <c r="F12" s="26" t="s">
        <v>65</v>
      </c>
      <c r="G12" s="20" t="s">
        <v>14</v>
      </c>
      <c r="H12" s="56">
        <v>46004</v>
      </c>
      <c r="I12" s="68" t="s">
        <v>96</v>
      </c>
      <c r="J12" s="78">
        <f t="shared" ca="1" si="0"/>
        <v>6</v>
      </c>
    </row>
    <row r="13" spans="1:10" ht="32.25" customHeight="1" x14ac:dyDescent="0.25">
      <c r="D13" s="111"/>
      <c r="E13" s="25" t="s">
        <v>26</v>
      </c>
      <c r="F13" s="26" t="s">
        <v>66</v>
      </c>
      <c r="G13" s="20" t="s">
        <v>14</v>
      </c>
      <c r="H13" s="56">
        <v>46007</v>
      </c>
      <c r="I13" s="68" t="s">
        <v>96</v>
      </c>
      <c r="J13" s="78">
        <f t="shared" ca="1" si="0"/>
        <v>9</v>
      </c>
    </row>
    <row r="14" spans="1:10" ht="32.25" customHeight="1" x14ac:dyDescent="0.25">
      <c r="D14" s="111"/>
      <c r="E14" s="25" t="s">
        <v>27</v>
      </c>
      <c r="F14" s="26" t="s">
        <v>67</v>
      </c>
      <c r="G14" s="20" t="s">
        <v>14</v>
      </c>
      <c r="H14" s="56">
        <v>46011</v>
      </c>
      <c r="I14" s="68" t="s">
        <v>97</v>
      </c>
      <c r="J14" s="78">
        <f t="shared" ca="1" si="0"/>
        <v>13</v>
      </c>
    </row>
    <row r="15" spans="1:10" ht="32.25" customHeight="1" x14ac:dyDescent="0.25">
      <c r="D15" s="111"/>
      <c r="E15" s="27" t="s">
        <v>28</v>
      </c>
      <c r="F15" s="28" t="s">
        <v>68</v>
      </c>
      <c r="G15" s="20" t="s">
        <v>14</v>
      </c>
      <c r="H15" s="57">
        <v>46014</v>
      </c>
      <c r="I15" s="69" t="s">
        <v>96</v>
      </c>
      <c r="J15" s="78">
        <f t="shared" ca="1" si="0"/>
        <v>16</v>
      </c>
    </row>
    <row r="16" spans="1:10" ht="32.25" customHeight="1" x14ac:dyDescent="0.25">
      <c r="D16" s="111"/>
      <c r="E16" s="27" t="s">
        <v>29</v>
      </c>
      <c r="F16" s="28" t="s">
        <v>69</v>
      </c>
      <c r="G16" s="20" t="s">
        <v>14</v>
      </c>
      <c r="H16" s="57">
        <v>46025</v>
      </c>
      <c r="I16" s="69" t="s">
        <v>96</v>
      </c>
      <c r="J16" s="78">
        <f t="shared" ca="1" si="0"/>
        <v>27</v>
      </c>
    </row>
    <row r="17" spans="4:10" ht="32.25" customHeight="1" x14ac:dyDescent="0.25">
      <c r="D17" s="111"/>
      <c r="E17" s="27" t="s">
        <v>30</v>
      </c>
      <c r="F17" s="28" t="s">
        <v>70</v>
      </c>
      <c r="G17" s="20" t="s">
        <v>14</v>
      </c>
      <c r="H17" s="57">
        <v>46028</v>
      </c>
      <c r="I17" s="69" t="s">
        <v>96</v>
      </c>
      <c r="J17" s="78">
        <f t="shared" ca="1" si="0"/>
        <v>30</v>
      </c>
    </row>
    <row r="18" spans="4:10" ht="32.25" customHeight="1" x14ac:dyDescent="0.25">
      <c r="D18" s="111"/>
      <c r="E18" s="29" t="s">
        <v>31</v>
      </c>
      <c r="F18" s="30" t="s">
        <v>71</v>
      </c>
      <c r="G18" s="20" t="s">
        <v>14</v>
      </c>
      <c r="H18" s="58">
        <v>46031</v>
      </c>
      <c r="I18" s="70" t="s">
        <v>95</v>
      </c>
      <c r="J18" s="78">
        <f t="shared" ca="1" si="0"/>
        <v>33</v>
      </c>
    </row>
    <row r="19" spans="4:10" ht="32.25" customHeight="1" x14ac:dyDescent="0.25">
      <c r="D19" s="111"/>
      <c r="E19" s="29" t="s">
        <v>32</v>
      </c>
      <c r="F19" s="30" t="s">
        <v>72</v>
      </c>
      <c r="G19" s="20" t="s">
        <v>14</v>
      </c>
      <c r="H19" s="58">
        <v>46034</v>
      </c>
      <c r="I19" s="70" t="s">
        <v>95</v>
      </c>
      <c r="J19" s="78">
        <f t="shared" ca="1" si="0"/>
        <v>36</v>
      </c>
    </row>
    <row r="20" spans="4:10" ht="32.25" customHeight="1" x14ac:dyDescent="0.25">
      <c r="D20" s="111"/>
      <c r="E20" s="29" t="s">
        <v>33</v>
      </c>
      <c r="F20" s="30" t="s">
        <v>73</v>
      </c>
      <c r="G20" s="20" t="s">
        <v>14</v>
      </c>
      <c r="H20" s="58">
        <v>46036</v>
      </c>
      <c r="I20" s="70" t="s">
        <v>96</v>
      </c>
      <c r="J20" s="78">
        <f t="shared" ca="1" si="0"/>
        <v>38</v>
      </c>
    </row>
    <row r="21" spans="4:10" ht="32.25" customHeight="1" x14ac:dyDescent="0.25">
      <c r="D21" s="112" t="s">
        <v>34</v>
      </c>
      <c r="E21" s="31" t="s">
        <v>35</v>
      </c>
      <c r="F21" s="32" t="s">
        <v>74</v>
      </c>
      <c r="G21" s="20" t="s">
        <v>14</v>
      </c>
      <c r="H21" s="59">
        <v>46047</v>
      </c>
      <c r="I21" s="71" t="s">
        <v>95</v>
      </c>
      <c r="J21" s="78">
        <f t="shared" ca="1" si="0"/>
        <v>49</v>
      </c>
    </row>
    <row r="22" spans="4:10" ht="32.25" customHeight="1" x14ac:dyDescent="0.25">
      <c r="D22" s="112"/>
      <c r="E22" s="31" t="s">
        <v>36</v>
      </c>
      <c r="F22" s="32" t="s">
        <v>75</v>
      </c>
      <c r="G22" s="20" t="s">
        <v>14</v>
      </c>
      <c r="H22" s="59">
        <v>46054</v>
      </c>
      <c r="I22" s="71" t="s">
        <v>96</v>
      </c>
      <c r="J22" s="78">
        <f t="shared" ca="1" si="0"/>
        <v>56</v>
      </c>
    </row>
    <row r="23" spans="4:10" ht="32.25" customHeight="1" x14ac:dyDescent="0.25">
      <c r="D23" s="112"/>
      <c r="E23" s="31" t="s">
        <v>37</v>
      </c>
      <c r="F23" s="32" t="s">
        <v>76</v>
      </c>
      <c r="G23" s="20" t="s">
        <v>14</v>
      </c>
      <c r="H23" s="59">
        <v>46061</v>
      </c>
      <c r="I23" s="71" t="s">
        <v>96</v>
      </c>
      <c r="J23" s="78">
        <f t="shared" ca="1" si="0"/>
        <v>63</v>
      </c>
    </row>
    <row r="24" spans="4:10" ht="32.25" customHeight="1" x14ac:dyDescent="0.25">
      <c r="D24" s="112"/>
      <c r="E24" s="33" t="s">
        <v>38</v>
      </c>
      <c r="F24" s="34" t="s">
        <v>77</v>
      </c>
      <c r="G24" s="20" t="s">
        <v>14</v>
      </c>
      <c r="H24" s="60">
        <v>46068</v>
      </c>
      <c r="I24" s="72" t="s">
        <v>95</v>
      </c>
      <c r="J24" s="78">
        <f t="shared" ca="1" si="0"/>
        <v>70</v>
      </c>
    </row>
    <row r="25" spans="4:10" ht="32.25" customHeight="1" x14ac:dyDescent="0.25">
      <c r="D25" s="112"/>
      <c r="E25" s="33" t="s">
        <v>39</v>
      </c>
      <c r="F25" s="34" t="s">
        <v>78</v>
      </c>
      <c r="G25" s="20" t="s">
        <v>14</v>
      </c>
      <c r="H25" s="60">
        <v>46078</v>
      </c>
      <c r="I25" s="72" t="s">
        <v>97</v>
      </c>
      <c r="J25" s="78">
        <f t="shared" ca="1" si="0"/>
        <v>80</v>
      </c>
    </row>
    <row r="26" spans="4:10" ht="32.25" customHeight="1" x14ac:dyDescent="0.25">
      <c r="D26" s="112"/>
      <c r="E26" s="33" t="s">
        <v>40</v>
      </c>
      <c r="F26" s="34" t="s">
        <v>79</v>
      </c>
      <c r="G26" s="20" t="s">
        <v>14</v>
      </c>
      <c r="H26" s="60">
        <v>46086</v>
      </c>
      <c r="I26" s="72" t="s">
        <v>95</v>
      </c>
      <c r="J26" s="78">
        <f t="shared" ca="1" si="0"/>
        <v>88</v>
      </c>
    </row>
    <row r="27" spans="4:10" ht="32.25" customHeight="1" x14ac:dyDescent="0.25">
      <c r="D27" s="112"/>
      <c r="E27" s="35" t="s">
        <v>41</v>
      </c>
      <c r="F27" s="36" t="s">
        <v>80</v>
      </c>
      <c r="G27" s="20" t="s">
        <v>14</v>
      </c>
      <c r="H27" s="64">
        <v>46093</v>
      </c>
      <c r="I27" s="73" t="s">
        <v>96</v>
      </c>
      <c r="J27" s="78">
        <f t="shared" ca="1" si="0"/>
        <v>95</v>
      </c>
    </row>
    <row r="28" spans="4:10" ht="32.25" customHeight="1" x14ac:dyDescent="0.25">
      <c r="D28" s="112"/>
      <c r="E28" s="35" t="s">
        <v>42</v>
      </c>
      <c r="F28" s="36" t="s">
        <v>81</v>
      </c>
      <c r="G28" s="20" t="s">
        <v>14</v>
      </c>
      <c r="H28" s="64">
        <v>46099</v>
      </c>
      <c r="I28" s="73" t="s">
        <v>96</v>
      </c>
      <c r="J28" s="78">
        <f t="shared" ca="1" si="0"/>
        <v>101</v>
      </c>
    </row>
    <row r="29" spans="4:10" ht="32.25" customHeight="1" x14ac:dyDescent="0.25">
      <c r="D29" s="113" t="s">
        <v>43</v>
      </c>
      <c r="E29" s="37" t="s">
        <v>44</v>
      </c>
      <c r="F29" s="38" t="s">
        <v>82</v>
      </c>
      <c r="G29" s="20" t="s">
        <v>14</v>
      </c>
      <c r="H29" s="61">
        <v>46113</v>
      </c>
      <c r="I29" s="74" t="s">
        <v>95</v>
      </c>
      <c r="J29" s="78">
        <f t="shared" ca="1" si="0"/>
        <v>115</v>
      </c>
    </row>
    <row r="30" spans="4:10" ht="32.25" customHeight="1" x14ac:dyDescent="0.25">
      <c r="D30" s="113"/>
      <c r="E30" s="37" t="s">
        <v>45</v>
      </c>
      <c r="F30" s="38" t="s">
        <v>83</v>
      </c>
      <c r="G30" s="20" t="s">
        <v>14</v>
      </c>
      <c r="H30" s="61">
        <v>46120</v>
      </c>
      <c r="I30" s="74" t="s">
        <v>97</v>
      </c>
      <c r="J30" s="78">
        <f t="shared" ca="1" si="0"/>
        <v>122</v>
      </c>
    </row>
    <row r="31" spans="4:10" ht="32.25" customHeight="1" x14ac:dyDescent="0.25">
      <c r="D31" s="113"/>
      <c r="E31" s="37" t="s">
        <v>46</v>
      </c>
      <c r="F31" s="38" t="s">
        <v>84</v>
      </c>
      <c r="G31" s="20" t="s">
        <v>14</v>
      </c>
      <c r="H31" s="61">
        <v>46127</v>
      </c>
      <c r="I31" s="74" t="s">
        <v>95</v>
      </c>
      <c r="J31" s="78">
        <f t="shared" ca="1" si="0"/>
        <v>129</v>
      </c>
    </row>
    <row r="32" spans="4:10" ht="32.25" customHeight="1" x14ac:dyDescent="0.25">
      <c r="D32" s="113"/>
      <c r="E32" s="39" t="s">
        <v>47</v>
      </c>
      <c r="F32" s="40" t="s">
        <v>85</v>
      </c>
      <c r="G32" s="20" t="s">
        <v>14</v>
      </c>
      <c r="H32" s="62">
        <v>46134</v>
      </c>
      <c r="I32" s="75" t="s">
        <v>96</v>
      </c>
      <c r="J32" s="78">
        <f t="shared" ca="1" si="0"/>
        <v>136</v>
      </c>
    </row>
    <row r="33" spans="4:10" ht="32.25" customHeight="1" x14ac:dyDescent="0.25">
      <c r="D33" s="113"/>
      <c r="E33" s="39" t="s">
        <v>48</v>
      </c>
      <c r="F33" s="40" t="s">
        <v>86</v>
      </c>
      <c r="G33" s="20" t="s">
        <v>14</v>
      </c>
      <c r="H33" s="62">
        <v>46140</v>
      </c>
      <c r="I33" s="75" t="s">
        <v>96</v>
      </c>
      <c r="J33" s="78">
        <f t="shared" ca="1" si="0"/>
        <v>142</v>
      </c>
    </row>
    <row r="34" spans="4:10" ht="32.25" customHeight="1" x14ac:dyDescent="0.25">
      <c r="D34" s="113"/>
      <c r="E34" s="39" t="s">
        <v>49</v>
      </c>
      <c r="F34" s="40" t="s">
        <v>87</v>
      </c>
      <c r="G34" s="20" t="s">
        <v>14</v>
      </c>
      <c r="H34" s="62">
        <v>46147</v>
      </c>
      <c r="I34" s="75" t="s">
        <v>95</v>
      </c>
      <c r="J34" s="78">
        <f t="shared" ca="1" si="0"/>
        <v>149</v>
      </c>
    </row>
    <row r="35" spans="4:10" ht="32.25" customHeight="1" x14ac:dyDescent="0.25">
      <c r="D35" s="113"/>
      <c r="E35" s="41" t="s">
        <v>50</v>
      </c>
      <c r="F35" s="42" t="s">
        <v>88</v>
      </c>
      <c r="G35" s="20" t="s">
        <v>14</v>
      </c>
      <c r="H35" s="63">
        <v>46154</v>
      </c>
      <c r="I35" s="76" t="s">
        <v>96</v>
      </c>
      <c r="J35" s="78">
        <f t="shared" ca="1" si="0"/>
        <v>156</v>
      </c>
    </row>
    <row r="36" spans="4:10" ht="32.25" customHeight="1" x14ac:dyDescent="0.25">
      <c r="D36" s="113"/>
      <c r="E36" s="41" t="s">
        <v>51</v>
      </c>
      <c r="F36" s="42" t="s">
        <v>89</v>
      </c>
      <c r="G36" s="20" t="s">
        <v>14</v>
      </c>
      <c r="H36" s="63">
        <v>46162</v>
      </c>
      <c r="I36" s="76" t="s">
        <v>95</v>
      </c>
      <c r="J36" s="78">
        <f t="shared" ca="1" si="0"/>
        <v>164</v>
      </c>
    </row>
    <row r="37" spans="4:10" ht="32.25" customHeight="1" x14ac:dyDescent="0.25">
      <c r="D37" s="113"/>
      <c r="E37" s="43" t="s">
        <v>52</v>
      </c>
      <c r="F37" s="44" t="s">
        <v>90</v>
      </c>
      <c r="G37" s="45" t="s">
        <v>14</v>
      </c>
      <c r="H37" s="63">
        <v>46174</v>
      </c>
      <c r="I37" s="76" t="s">
        <v>97</v>
      </c>
      <c r="J37" s="78">
        <f t="shared" ca="1" si="0"/>
        <v>176</v>
      </c>
    </row>
  </sheetData>
  <mergeCells count="4">
    <mergeCell ref="D2:D11"/>
    <mergeCell ref="D12:D20"/>
    <mergeCell ref="D21:D28"/>
    <mergeCell ref="D29:D37"/>
  </mergeCells>
  <conditionalFormatting sqref="J2:J37">
    <cfRule type="colorScale" priority="1">
      <colorScale>
        <cfvo type="min"/>
        <cfvo type="percentile" val="50"/>
        <cfvo type="max"/>
        <color rgb="FFF8696B"/>
        <color rgb="FFFFEB84"/>
        <color rgb="FF63BE7B"/>
      </colorScale>
    </cfRule>
  </conditionalFormatting>
  <dataValidations count="1">
    <dataValidation type="list" sqref="G1:G37 D2" xr:uid="{00000000-0002-0000-0000-000000000000}">
      <formula1>"À faire,En cours,En révision,Terminé,Bloqué"</formula1>
    </dataValidation>
  </dataValidations>
  <pageMargins left="0.75" right="0.75" top="1" bottom="1" header="0.5" footer="0.5"/>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97C37F53-518F-480E-A80E-2CD7ADD07C57}">
            <xm:f>NOT(ISERROR(SEARCH(Config!$A$6,G2)))</xm:f>
            <xm:f>Config!$A$6</xm:f>
            <x14:dxf>
              <font>
                <b/>
                <i val="0"/>
                <color theme="0"/>
              </font>
              <fill>
                <patternFill>
                  <bgColor theme="0" tint="-0.499984740745262"/>
                </patternFill>
              </fill>
            </x14:dxf>
          </x14:cfRule>
          <x14:cfRule type="containsText" priority="6" operator="containsText" id="{B59D4376-586E-4F95-90F9-81434F7A49BB}">
            <xm:f>NOT(ISERROR(SEARCH(Config!$A$5,G2)))</xm:f>
            <xm:f>Config!$A$5</xm:f>
            <x14:dxf>
              <font>
                <b/>
                <i val="0"/>
                <color theme="0"/>
              </font>
              <fill>
                <patternFill>
                  <bgColor rgb="FF00B050"/>
                </patternFill>
              </fill>
            </x14:dxf>
          </x14:cfRule>
          <x14:cfRule type="containsText" priority="7" operator="containsText" id="{4307FECB-EBCC-414C-974B-81A070EF88C7}">
            <xm:f>NOT(ISERROR(SEARCH(Config!$A$4,G2)))</xm:f>
            <xm:f>Config!$A$4</xm:f>
            <x14:dxf>
              <font>
                <b/>
                <i val="0"/>
              </font>
              <fill>
                <patternFill>
                  <bgColor rgb="FFFFC000"/>
                </patternFill>
              </fill>
            </x14:dxf>
          </x14:cfRule>
          <x14:cfRule type="containsText" priority="8" operator="containsText" id="{827A73A6-D52E-4309-9D06-24FA06F639C9}">
            <xm:f>NOT(ISERROR(SEARCH(Config!$A$3,G2)))</xm:f>
            <xm:f>Config!$A$3</xm:f>
            <x14:dxf>
              <font>
                <b/>
                <i val="0"/>
                <color theme="0"/>
              </font>
              <fill>
                <patternFill>
                  <bgColor rgb="FF0070C0"/>
                </patternFill>
              </fill>
            </x14:dxf>
          </x14:cfRule>
          <x14:cfRule type="containsText" priority="9" operator="containsText" id="{E9A8F87D-149F-4C49-B9A2-CF0E1EF1D5D5}">
            <xm:f>NOT(ISERROR(SEARCH(Config!$A$2,G2)))</xm:f>
            <xm:f>Config!$A$2</xm:f>
            <x14:dxf>
              <font>
                <b/>
                <i val="0"/>
                <color theme="0"/>
              </font>
              <fill>
                <patternFill>
                  <bgColor rgb="FFC00000"/>
                </patternFill>
              </fill>
            </x14:dxf>
          </x14:cfRule>
          <xm:sqref>G2:G37</xm:sqref>
        </x14:conditionalFormatting>
        <x14:conditionalFormatting xmlns:xm="http://schemas.microsoft.com/office/excel/2006/main">
          <x14:cfRule type="containsText" priority="2" operator="containsText" id="{A1319966-ED9D-4681-8AF9-4B8ADBDE038D}">
            <xm:f>NOT(ISERROR(SEARCH(Config!$B$4,I2)))</xm:f>
            <xm:f>Config!$B$4</xm:f>
            <x14:dxf>
              <font>
                <b/>
                <i val="0"/>
                <color theme="6" tint="-0.499984740745262"/>
              </font>
              <fill>
                <patternFill>
                  <bgColor theme="6" tint="0.59996337778862885"/>
                </patternFill>
              </fill>
            </x14:dxf>
          </x14:cfRule>
          <x14:cfRule type="containsText" priority="3" operator="containsText" id="{39D78E1E-EB3B-4ECB-9506-D6E2BD13B281}">
            <xm:f>NOT(ISERROR(SEARCH(Config!$B$3,I2)))</xm:f>
            <xm:f>Config!$B$3</xm:f>
            <x14:dxf>
              <font>
                <b/>
                <i val="0"/>
                <color theme="9" tint="-0.499984740745262"/>
              </font>
              <fill>
                <patternFill>
                  <bgColor theme="9" tint="0.59996337778862885"/>
                </patternFill>
              </fill>
            </x14:dxf>
          </x14:cfRule>
          <x14:cfRule type="containsText" priority="4" operator="containsText" id="{556225A4-BBBD-4AF2-A39B-BB02900ACA10}">
            <xm:f>NOT(ISERROR(SEARCH(Config!$B$2,I2)))</xm:f>
            <xm:f>Config!$B$2</xm:f>
            <x14:dxf>
              <font>
                <b/>
                <i val="0"/>
                <color rgb="FFC00000"/>
              </font>
              <fill>
                <patternFill>
                  <bgColor theme="5" tint="0.59996337778862885"/>
                </patternFill>
              </fill>
            </x14:dxf>
          </x14:cfRule>
          <xm:sqref>I2:I37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E9FEEFE-2D78-452C-89EA-22A9E0A7CF9E}">
          <x14:formula1>
            <xm:f>Config!$B$2:$B$5</xm:f>
          </x14:formula1>
          <xm:sqref>I2:I37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1:F12"/>
  <sheetViews>
    <sheetView showGridLines="0" tabSelected="1" zoomScale="85" zoomScaleNormal="85" workbookViewId="0">
      <selection activeCell="F4" sqref="F4"/>
    </sheetView>
  </sheetViews>
  <sheetFormatPr baseColWidth="10" defaultColWidth="9.140625" defaultRowHeight="72.599999999999994" customHeight="1" x14ac:dyDescent="0.25"/>
  <cols>
    <col min="1" max="1" width="6.5703125" style="46" customWidth="1"/>
    <col min="2" max="3" width="30.5703125" style="46" customWidth="1"/>
    <col min="4" max="4" width="100.5703125" style="46" customWidth="1"/>
    <col min="5" max="5" width="30.5703125" style="46" customWidth="1"/>
    <col min="6" max="6" width="68.5703125" style="46" bestFit="1" customWidth="1"/>
    <col min="7" max="16384" width="9.140625" style="46"/>
  </cols>
  <sheetData>
    <row r="1" spans="2:6" ht="30" customHeight="1" thickBot="1" x14ac:dyDescent="0.3"/>
    <row r="2" spans="2:6" s="51" customFormat="1" ht="50.1" customHeight="1" thickBot="1" x14ac:dyDescent="0.3">
      <c r="B2" s="79" t="s">
        <v>9</v>
      </c>
      <c r="C2" s="80" t="s">
        <v>10</v>
      </c>
      <c r="D2" s="80" t="s">
        <v>98</v>
      </c>
      <c r="E2" s="80" t="s">
        <v>99</v>
      </c>
      <c r="F2" s="81" t="s">
        <v>229</v>
      </c>
    </row>
    <row r="3" spans="2:6" ht="72.599999999999994" customHeight="1" x14ac:dyDescent="0.25">
      <c r="B3" s="82" t="s">
        <v>100</v>
      </c>
      <c r="C3" s="83" t="s">
        <v>226</v>
      </c>
      <c r="D3" s="83" t="s">
        <v>101</v>
      </c>
      <c r="E3" s="83" t="s">
        <v>53</v>
      </c>
      <c r="F3" s="109" t="s">
        <v>239</v>
      </c>
    </row>
    <row r="4" spans="2:6" ht="72.599999999999994" customHeight="1" x14ac:dyDescent="0.25">
      <c r="B4" s="84" t="s">
        <v>100</v>
      </c>
      <c r="C4" s="85" t="s">
        <v>227</v>
      </c>
      <c r="D4" s="85" t="s">
        <v>102</v>
      </c>
      <c r="E4" s="85" t="s">
        <v>56</v>
      </c>
      <c r="F4" s="97" t="s">
        <v>230</v>
      </c>
    </row>
    <row r="5" spans="2:6" ht="72.599999999999994" customHeight="1" x14ac:dyDescent="0.25">
      <c r="B5" s="84" t="s">
        <v>100</v>
      </c>
      <c r="C5" s="85" t="s">
        <v>103</v>
      </c>
      <c r="D5" s="85" t="s">
        <v>104</v>
      </c>
      <c r="E5" s="85" t="s">
        <v>57</v>
      </c>
      <c r="F5" s="97" t="s">
        <v>231</v>
      </c>
    </row>
    <row r="6" spans="2:6" ht="72.599999999999994" customHeight="1" x14ac:dyDescent="0.25">
      <c r="B6" s="84" t="s">
        <v>100</v>
      </c>
      <c r="C6" s="85" t="s">
        <v>105</v>
      </c>
      <c r="D6" s="85" t="s">
        <v>106</v>
      </c>
      <c r="E6" s="85" t="s">
        <v>58</v>
      </c>
      <c r="F6" s="97" t="s">
        <v>232</v>
      </c>
    </row>
    <row r="7" spans="2:6" ht="72.599999999999994" customHeight="1" x14ac:dyDescent="0.25">
      <c r="B7" s="84" t="s">
        <v>107</v>
      </c>
      <c r="C7" s="85" t="s">
        <v>108</v>
      </c>
      <c r="D7" s="85" t="s">
        <v>109</v>
      </c>
      <c r="E7" s="85" t="s">
        <v>59</v>
      </c>
      <c r="F7" s="97" t="s">
        <v>233</v>
      </c>
    </row>
    <row r="8" spans="2:6" ht="72.599999999999994" customHeight="1" x14ac:dyDescent="0.25">
      <c r="B8" s="84" t="s">
        <v>107</v>
      </c>
      <c r="C8" s="85" t="s">
        <v>110</v>
      </c>
      <c r="D8" s="85" t="s">
        <v>111</v>
      </c>
      <c r="E8" s="85" t="s">
        <v>60</v>
      </c>
      <c r="F8" s="97" t="s">
        <v>234</v>
      </c>
    </row>
    <row r="9" spans="2:6" ht="72.599999999999994" customHeight="1" x14ac:dyDescent="0.25">
      <c r="B9" s="84" t="s">
        <v>107</v>
      </c>
      <c r="C9" s="85" t="s">
        <v>112</v>
      </c>
      <c r="D9" s="85" t="s">
        <v>113</v>
      </c>
      <c r="E9" s="85" t="s">
        <v>61</v>
      </c>
      <c r="F9" s="97" t="s">
        <v>235</v>
      </c>
    </row>
    <row r="10" spans="2:6" ht="72.599999999999994" customHeight="1" x14ac:dyDescent="0.25">
      <c r="B10" s="84" t="s">
        <v>114</v>
      </c>
      <c r="C10" s="85" t="s">
        <v>115</v>
      </c>
      <c r="D10" s="85" t="s">
        <v>116</v>
      </c>
      <c r="E10" s="85" t="s">
        <v>62</v>
      </c>
      <c r="F10" s="97" t="s">
        <v>236</v>
      </c>
    </row>
    <row r="11" spans="2:6" ht="72.599999999999994" customHeight="1" x14ac:dyDescent="0.25">
      <c r="B11" s="84" t="s">
        <v>114</v>
      </c>
      <c r="C11" s="85" t="s">
        <v>117</v>
      </c>
      <c r="D11" s="85" t="s">
        <v>118</v>
      </c>
      <c r="E11" s="85" t="s">
        <v>63</v>
      </c>
      <c r="F11" s="97" t="s">
        <v>237</v>
      </c>
    </row>
    <row r="12" spans="2:6" ht="72.599999999999994" customHeight="1" x14ac:dyDescent="0.25">
      <c r="B12" s="86" t="s">
        <v>114</v>
      </c>
      <c r="C12" s="87" t="s">
        <v>119</v>
      </c>
      <c r="D12" s="87" t="s">
        <v>120</v>
      </c>
      <c r="E12" s="87" t="s">
        <v>64</v>
      </c>
      <c r="F12" s="98" t="s">
        <v>238</v>
      </c>
    </row>
  </sheetData>
  <pageMargins left="0.75" right="0.75" top="1" bottom="1" header="0.5" footer="0.5"/>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F11"/>
  <sheetViews>
    <sheetView showGridLines="0" zoomScale="70" zoomScaleNormal="70" workbookViewId="0">
      <selection activeCell="G10" sqref="A1:XFD1048576"/>
    </sheetView>
  </sheetViews>
  <sheetFormatPr baseColWidth="10" defaultColWidth="70.5703125" defaultRowHeight="59.25" customHeight="1" x14ac:dyDescent="0.25"/>
  <cols>
    <col min="1" max="1" width="6.5703125" style="1" customWidth="1"/>
    <col min="2" max="3" width="30.5703125" style="1" customWidth="1"/>
    <col min="4" max="4" width="100.5703125" style="1" customWidth="1"/>
    <col min="5" max="5" width="30.5703125" style="1" customWidth="1"/>
    <col min="6" max="6" width="66.42578125" style="1" bestFit="1" customWidth="1"/>
    <col min="7" max="16384" width="70.5703125" style="1"/>
  </cols>
  <sheetData>
    <row r="1" spans="2:6" ht="30" customHeight="1" thickBot="1" x14ac:dyDescent="0.3"/>
    <row r="2" spans="2:6" ht="50.1" customHeight="1" thickBot="1" x14ac:dyDescent="0.3">
      <c r="B2" s="88" t="s">
        <v>9</v>
      </c>
      <c r="C2" s="89" t="s">
        <v>10</v>
      </c>
      <c r="D2" s="89" t="s">
        <v>98</v>
      </c>
      <c r="E2" s="89" t="s">
        <v>99</v>
      </c>
      <c r="F2" s="99" t="s">
        <v>229</v>
      </c>
    </row>
    <row r="3" spans="2:6" ht="63" customHeight="1" x14ac:dyDescent="0.25">
      <c r="B3" s="100" t="s">
        <v>121</v>
      </c>
      <c r="C3" s="101" t="s">
        <v>122</v>
      </c>
      <c r="D3" s="101" t="s">
        <v>123</v>
      </c>
      <c r="E3" s="101" t="s">
        <v>65</v>
      </c>
      <c r="F3" s="102" t="s">
        <v>240</v>
      </c>
    </row>
    <row r="4" spans="2:6" ht="63" customHeight="1" x14ac:dyDescent="0.25">
      <c r="B4" s="103" t="s">
        <v>121</v>
      </c>
      <c r="C4" s="104" t="s">
        <v>124</v>
      </c>
      <c r="D4" s="104" t="s">
        <v>125</v>
      </c>
      <c r="E4" s="104" t="s">
        <v>66</v>
      </c>
      <c r="F4" s="105" t="s">
        <v>241</v>
      </c>
    </row>
    <row r="5" spans="2:6" ht="63" customHeight="1" x14ac:dyDescent="0.25">
      <c r="B5" s="103" t="s">
        <v>121</v>
      </c>
      <c r="C5" s="104" t="s">
        <v>126</v>
      </c>
      <c r="D5" s="104" t="s">
        <v>127</v>
      </c>
      <c r="E5" s="104" t="s">
        <v>67</v>
      </c>
      <c r="F5" s="105" t="s">
        <v>242</v>
      </c>
    </row>
    <row r="6" spans="2:6" ht="63" customHeight="1" x14ac:dyDescent="0.25">
      <c r="B6" s="103" t="s">
        <v>128</v>
      </c>
      <c r="C6" s="104" t="s">
        <v>129</v>
      </c>
      <c r="D6" s="104" t="s">
        <v>130</v>
      </c>
      <c r="E6" s="104" t="s">
        <v>68</v>
      </c>
      <c r="F6" s="105" t="s">
        <v>243</v>
      </c>
    </row>
    <row r="7" spans="2:6" ht="63" customHeight="1" x14ac:dyDescent="0.25">
      <c r="B7" s="103" t="s">
        <v>128</v>
      </c>
      <c r="C7" s="104" t="s">
        <v>131</v>
      </c>
      <c r="D7" s="104" t="s">
        <v>132</v>
      </c>
      <c r="E7" s="104" t="s">
        <v>69</v>
      </c>
      <c r="F7" s="105" t="s">
        <v>244</v>
      </c>
    </row>
    <row r="8" spans="2:6" ht="63" customHeight="1" x14ac:dyDescent="0.25">
      <c r="B8" s="103" t="s">
        <v>128</v>
      </c>
      <c r="C8" s="104" t="s">
        <v>133</v>
      </c>
      <c r="D8" s="104" t="s">
        <v>134</v>
      </c>
      <c r="E8" s="104" t="s">
        <v>70</v>
      </c>
      <c r="F8" s="105" t="s">
        <v>245</v>
      </c>
    </row>
    <row r="9" spans="2:6" ht="63" customHeight="1" x14ac:dyDescent="0.25">
      <c r="B9" s="103" t="s">
        <v>135</v>
      </c>
      <c r="C9" s="104" t="s">
        <v>136</v>
      </c>
      <c r="D9" s="104" t="s">
        <v>137</v>
      </c>
      <c r="E9" s="104" t="s">
        <v>71</v>
      </c>
      <c r="F9" s="105" t="s">
        <v>246</v>
      </c>
    </row>
    <row r="10" spans="2:6" ht="63" customHeight="1" x14ac:dyDescent="0.25">
      <c r="B10" s="103" t="s">
        <v>135</v>
      </c>
      <c r="C10" s="104" t="s">
        <v>138</v>
      </c>
      <c r="D10" s="104" t="s">
        <v>139</v>
      </c>
      <c r="E10" s="104" t="s">
        <v>72</v>
      </c>
      <c r="F10" s="105" t="s">
        <v>247</v>
      </c>
    </row>
    <row r="11" spans="2:6" ht="63" customHeight="1" x14ac:dyDescent="0.25">
      <c r="B11" s="106" t="s">
        <v>135</v>
      </c>
      <c r="C11" s="107" t="s">
        <v>140</v>
      </c>
      <c r="D11" s="107" t="s">
        <v>141</v>
      </c>
      <c r="E11" s="107" t="s">
        <v>73</v>
      </c>
      <c r="F11" s="108" t="s">
        <v>248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1:F10"/>
  <sheetViews>
    <sheetView showGridLines="0" workbookViewId="0">
      <selection activeCell="G9" sqref="A1:XFD1048576"/>
    </sheetView>
  </sheetViews>
  <sheetFormatPr baseColWidth="10" defaultColWidth="30.5703125" defaultRowHeight="58.5" customHeight="1" x14ac:dyDescent="0.25"/>
  <cols>
    <col min="1" max="1" width="6.5703125" style="46" customWidth="1"/>
    <col min="2" max="3" width="30.5703125" style="46"/>
    <col min="4" max="4" width="100.5703125" style="46" customWidth="1"/>
    <col min="5" max="5" width="30.5703125" style="46"/>
    <col min="6" max="6" width="58.140625" style="46" bestFit="1" customWidth="1"/>
    <col min="7" max="16384" width="30.5703125" style="46"/>
  </cols>
  <sheetData>
    <row r="1" spans="2:6" ht="30" customHeight="1" thickBot="1" x14ac:dyDescent="0.3"/>
    <row r="2" spans="2:6" s="50" customFormat="1" ht="50.1" customHeight="1" thickBot="1" x14ac:dyDescent="0.3">
      <c r="B2" s="90" t="s">
        <v>9</v>
      </c>
      <c r="C2" s="91" t="s">
        <v>10</v>
      </c>
      <c r="D2" s="91" t="s">
        <v>98</v>
      </c>
      <c r="E2" s="91" t="s">
        <v>99</v>
      </c>
      <c r="F2" s="92" t="s">
        <v>229</v>
      </c>
    </row>
    <row r="3" spans="2:6" ht="47.65" customHeight="1" x14ac:dyDescent="0.25">
      <c r="B3" s="100" t="s">
        <v>142</v>
      </c>
      <c r="C3" s="101" t="s">
        <v>143</v>
      </c>
      <c r="D3" s="101" t="s">
        <v>144</v>
      </c>
      <c r="E3" s="101" t="s">
        <v>74</v>
      </c>
      <c r="F3" s="102" t="s">
        <v>249</v>
      </c>
    </row>
    <row r="4" spans="2:6" ht="47.65" customHeight="1" x14ac:dyDescent="0.25">
      <c r="B4" s="103" t="s">
        <v>142</v>
      </c>
      <c r="C4" s="104" t="s">
        <v>145</v>
      </c>
      <c r="D4" s="104" t="s">
        <v>146</v>
      </c>
      <c r="E4" s="104" t="s">
        <v>75</v>
      </c>
      <c r="F4" s="105" t="s">
        <v>250</v>
      </c>
    </row>
    <row r="5" spans="2:6" ht="47.65" customHeight="1" x14ac:dyDescent="0.25">
      <c r="B5" s="103" t="s">
        <v>142</v>
      </c>
      <c r="C5" s="104" t="s">
        <v>147</v>
      </c>
      <c r="D5" s="104" t="s">
        <v>148</v>
      </c>
      <c r="E5" s="104" t="s">
        <v>76</v>
      </c>
      <c r="F5" s="105" t="s">
        <v>251</v>
      </c>
    </row>
    <row r="6" spans="2:6" ht="47.65" customHeight="1" x14ac:dyDescent="0.25">
      <c r="B6" s="103" t="s">
        <v>149</v>
      </c>
      <c r="C6" s="104" t="s">
        <v>150</v>
      </c>
      <c r="D6" s="104" t="s">
        <v>151</v>
      </c>
      <c r="E6" s="104" t="s">
        <v>77</v>
      </c>
      <c r="F6" s="105" t="s">
        <v>252</v>
      </c>
    </row>
    <row r="7" spans="2:6" ht="47.65" customHeight="1" x14ac:dyDescent="0.25">
      <c r="B7" s="103" t="s">
        <v>149</v>
      </c>
      <c r="C7" s="104" t="s">
        <v>152</v>
      </c>
      <c r="D7" s="104" t="s">
        <v>153</v>
      </c>
      <c r="E7" s="104" t="s">
        <v>78</v>
      </c>
      <c r="F7" s="105" t="s">
        <v>253</v>
      </c>
    </row>
    <row r="8" spans="2:6" ht="47.65" customHeight="1" x14ac:dyDescent="0.25">
      <c r="B8" s="103" t="s">
        <v>149</v>
      </c>
      <c r="C8" s="104" t="s">
        <v>154</v>
      </c>
      <c r="D8" s="104" t="s">
        <v>155</v>
      </c>
      <c r="E8" s="104" t="s">
        <v>79</v>
      </c>
      <c r="F8" s="105" t="s">
        <v>254</v>
      </c>
    </row>
    <row r="9" spans="2:6" ht="47.65" customHeight="1" x14ac:dyDescent="0.25">
      <c r="B9" s="103" t="s">
        <v>156</v>
      </c>
      <c r="C9" s="104" t="s">
        <v>157</v>
      </c>
      <c r="D9" s="104" t="s">
        <v>158</v>
      </c>
      <c r="E9" s="104" t="s">
        <v>80</v>
      </c>
      <c r="F9" s="105" t="s">
        <v>255</v>
      </c>
    </row>
    <row r="10" spans="2:6" ht="47.65" customHeight="1" x14ac:dyDescent="0.25">
      <c r="B10" s="106" t="s">
        <v>156</v>
      </c>
      <c r="C10" s="107" t="s">
        <v>159</v>
      </c>
      <c r="D10" s="107" t="s">
        <v>160</v>
      </c>
      <c r="E10" s="107" t="s">
        <v>81</v>
      </c>
      <c r="F10" s="108" t="s">
        <v>256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B1:F11"/>
  <sheetViews>
    <sheetView showGridLines="0" workbookViewId="0">
      <selection activeCell="F14" sqref="F14"/>
    </sheetView>
  </sheetViews>
  <sheetFormatPr baseColWidth="10" defaultColWidth="30.5703125" defaultRowHeight="53.25" customHeight="1" x14ac:dyDescent="0.25"/>
  <cols>
    <col min="1" max="1" width="6.5703125" style="46" customWidth="1"/>
    <col min="2" max="3" width="30.5703125" style="46"/>
    <col min="4" max="4" width="100.5703125" style="46" customWidth="1"/>
    <col min="5" max="5" width="30.5703125" style="46"/>
    <col min="6" max="6" width="65.7109375" style="46" bestFit="1" customWidth="1"/>
    <col min="7" max="16384" width="30.5703125" style="46"/>
  </cols>
  <sheetData>
    <row r="1" spans="2:6" ht="30" customHeight="1" thickBot="1" x14ac:dyDescent="0.3"/>
    <row r="2" spans="2:6" s="51" customFormat="1" ht="50.1" customHeight="1" thickBot="1" x14ac:dyDescent="0.3">
      <c r="B2" s="93" t="s">
        <v>9</v>
      </c>
      <c r="C2" s="94" t="s">
        <v>10</v>
      </c>
      <c r="D2" s="94" t="s">
        <v>98</v>
      </c>
      <c r="E2" s="94" t="s">
        <v>99</v>
      </c>
      <c r="F2" s="95" t="s">
        <v>229</v>
      </c>
    </row>
    <row r="3" spans="2:6" ht="50.1" customHeight="1" x14ac:dyDescent="0.25">
      <c r="B3" s="82" t="s">
        <v>161</v>
      </c>
      <c r="C3" s="83" t="s">
        <v>162</v>
      </c>
      <c r="D3" s="83" t="s">
        <v>163</v>
      </c>
      <c r="E3" s="83" t="s">
        <v>82</v>
      </c>
      <c r="F3" s="96" t="s">
        <v>257</v>
      </c>
    </row>
    <row r="4" spans="2:6" ht="50.1" customHeight="1" x14ac:dyDescent="0.25">
      <c r="B4" s="84" t="s">
        <v>161</v>
      </c>
      <c r="C4" s="85" t="s">
        <v>164</v>
      </c>
      <c r="D4" s="85" t="s">
        <v>165</v>
      </c>
      <c r="E4" s="85" t="s">
        <v>83</v>
      </c>
      <c r="F4" s="97" t="s">
        <v>258</v>
      </c>
    </row>
    <row r="5" spans="2:6" ht="50.1" customHeight="1" x14ac:dyDescent="0.25">
      <c r="B5" s="84" t="s">
        <v>161</v>
      </c>
      <c r="C5" s="85" t="s">
        <v>166</v>
      </c>
      <c r="D5" s="85" t="s">
        <v>167</v>
      </c>
      <c r="E5" s="85" t="s">
        <v>84</v>
      </c>
      <c r="F5" s="97" t="s">
        <v>259</v>
      </c>
    </row>
    <row r="6" spans="2:6" ht="50.1" customHeight="1" x14ac:dyDescent="0.25">
      <c r="B6" s="84" t="s">
        <v>168</v>
      </c>
      <c r="C6" s="85" t="s">
        <v>169</v>
      </c>
      <c r="D6" s="85" t="s">
        <v>170</v>
      </c>
      <c r="E6" s="85" t="s">
        <v>85</v>
      </c>
      <c r="F6" s="97" t="s">
        <v>260</v>
      </c>
    </row>
    <row r="7" spans="2:6" ht="50.1" customHeight="1" x14ac:dyDescent="0.25">
      <c r="B7" s="84" t="s">
        <v>168</v>
      </c>
      <c r="C7" s="85" t="s">
        <v>171</v>
      </c>
      <c r="D7" s="85" t="s">
        <v>172</v>
      </c>
      <c r="E7" s="85" t="s">
        <v>86</v>
      </c>
      <c r="F7" s="97" t="s">
        <v>261</v>
      </c>
    </row>
    <row r="8" spans="2:6" ht="50.1" customHeight="1" x14ac:dyDescent="0.25">
      <c r="B8" s="84" t="s">
        <v>168</v>
      </c>
      <c r="C8" s="85" t="s">
        <v>173</v>
      </c>
      <c r="D8" s="85" t="s">
        <v>174</v>
      </c>
      <c r="E8" s="85" t="s">
        <v>87</v>
      </c>
      <c r="F8" s="97" t="s">
        <v>262</v>
      </c>
    </row>
    <row r="9" spans="2:6" ht="50.1" customHeight="1" x14ac:dyDescent="0.25">
      <c r="B9" s="84" t="s">
        <v>175</v>
      </c>
      <c r="C9" s="85" t="s">
        <v>176</v>
      </c>
      <c r="D9" s="85" t="s">
        <v>177</v>
      </c>
      <c r="E9" s="85" t="s">
        <v>88</v>
      </c>
      <c r="F9" s="97" t="s">
        <v>263</v>
      </c>
    </row>
    <row r="10" spans="2:6" ht="50.1" customHeight="1" x14ac:dyDescent="0.25">
      <c r="B10" s="84" t="s">
        <v>175</v>
      </c>
      <c r="C10" s="85" t="s">
        <v>178</v>
      </c>
      <c r="D10" s="85" t="s">
        <v>179</v>
      </c>
      <c r="E10" s="85" t="s">
        <v>89</v>
      </c>
      <c r="F10" s="97" t="s">
        <v>264</v>
      </c>
    </row>
    <row r="11" spans="2:6" ht="50.1" customHeight="1" x14ac:dyDescent="0.25">
      <c r="B11" s="86" t="s">
        <v>175</v>
      </c>
      <c r="C11" s="87" t="s">
        <v>180</v>
      </c>
      <c r="D11" s="87" t="s">
        <v>181</v>
      </c>
      <c r="E11" s="87" t="s">
        <v>90</v>
      </c>
      <c r="F11" s="98" t="s">
        <v>265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election activeCell="C17" sqref="C17"/>
    </sheetView>
  </sheetViews>
  <sheetFormatPr baseColWidth="10" defaultColWidth="9.140625" defaultRowHeight="15" x14ac:dyDescent="0.25"/>
  <cols>
    <col min="1" max="7" width="26.28515625" customWidth="1"/>
  </cols>
  <sheetData>
    <row r="1" spans="1:7" s="13" customFormat="1" ht="18" customHeight="1" x14ac:dyDescent="0.25">
      <c r="A1" s="10" t="s">
        <v>182</v>
      </c>
      <c r="B1" s="11" t="s">
        <v>183</v>
      </c>
      <c r="C1" s="11" t="s">
        <v>184</v>
      </c>
      <c r="D1" s="11" t="s">
        <v>185</v>
      </c>
      <c r="E1" s="11" t="s">
        <v>186</v>
      </c>
      <c r="F1" s="11" t="s">
        <v>187</v>
      </c>
      <c r="G1" s="12" t="s">
        <v>188</v>
      </c>
    </row>
    <row r="2" spans="1:7" x14ac:dyDescent="0.25">
      <c r="A2" s="4" t="s">
        <v>14</v>
      </c>
      <c r="B2" s="5" t="s">
        <v>97</v>
      </c>
      <c r="C2" s="5" t="s">
        <v>54</v>
      </c>
      <c r="D2" s="5" t="s">
        <v>55</v>
      </c>
      <c r="E2" s="5" t="s">
        <v>94</v>
      </c>
      <c r="F2" s="5" t="s">
        <v>189</v>
      </c>
      <c r="G2" s="6" t="s">
        <v>190</v>
      </c>
    </row>
    <row r="3" spans="1:7" x14ac:dyDescent="0.25">
      <c r="A3" s="4" t="s">
        <v>93</v>
      </c>
      <c r="B3" s="5" t="s">
        <v>95</v>
      </c>
      <c r="C3" s="5" t="s">
        <v>191</v>
      </c>
      <c r="D3" s="5" t="s">
        <v>192</v>
      </c>
      <c r="E3" s="5" t="s">
        <v>193</v>
      </c>
      <c r="F3" s="5" t="s">
        <v>194</v>
      </c>
      <c r="G3" s="6" t="s">
        <v>195</v>
      </c>
    </row>
    <row r="4" spans="1:7" x14ac:dyDescent="0.25">
      <c r="A4" s="4" t="s">
        <v>196</v>
      </c>
      <c r="B4" s="5" t="s">
        <v>96</v>
      </c>
      <c r="C4" s="5" t="s">
        <v>197</v>
      </c>
      <c r="D4" s="5" t="s">
        <v>198</v>
      </c>
      <c r="E4" s="5" t="s">
        <v>199</v>
      </c>
      <c r="F4" s="5" t="s">
        <v>200</v>
      </c>
      <c r="G4" s="6" t="s">
        <v>201</v>
      </c>
    </row>
    <row r="5" spans="1:7" x14ac:dyDescent="0.25">
      <c r="A5" s="4" t="s">
        <v>202</v>
      </c>
      <c r="B5" s="5" t="s">
        <v>203</v>
      </c>
      <c r="C5" s="5" t="s">
        <v>204</v>
      </c>
      <c r="D5" s="5" t="s">
        <v>205</v>
      </c>
      <c r="E5" s="5" t="s">
        <v>206</v>
      </c>
      <c r="F5" s="5" t="s">
        <v>207</v>
      </c>
      <c r="G5" s="6" t="s">
        <v>208</v>
      </c>
    </row>
    <row r="6" spans="1:7" x14ac:dyDescent="0.25">
      <c r="A6" s="4" t="s">
        <v>209</v>
      </c>
      <c r="B6" s="5"/>
      <c r="C6" s="5" t="s">
        <v>210</v>
      </c>
      <c r="D6" s="5" t="s">
        <v>211</v>
      </c>
      <c r="E6" s="5" t="s">
        <v>212</v>
      </c>
      <c r="F6" s="5" t="s">
        <v>213</v>
      </c>
      <c r="G6" s="6" t="s">
        <v>214</v>
      </c>
    </row>
    <row r="7" spans="1:7" x14ac:dyDescent="0.25">
      <c r="A7" s="4"/>
      <c r="B7" s="5"/>
      <c r="C7" s="5" t="s">
        <v>215</v>
      </c>
      <c r="D7" s="5" t="s">
        <v>216</v>
      </c>
      <c r="E7" s="5"/>
      <c r="F7" s="5" t="s">
        <v>217</v>
      </c>
      <c r="G7" s="6" t="s">
        <v>218</v>
      </c>
    </row>
    <row r="8" spans="1:7" x14ac:dyDescent="0.25">
      <c r="A8" s="4"/>
      <c r="B8" s="5"/>
      <c r="C8" s="5"/>
      <c r="D8" s="5" t="s">
        <v>219</v>
      </c>
      <c r="E8" s="5"/>
      <c r="F8" s="5" t="s">
        <v>220</v>
      </c>
      <c r="G8" s="6" t="s">
        <v>221</v>
      </c>
    </row>
    <row r="9" spans="1:7" x14ac:dyDescent="0.25">
      <c r="A9" s="7"/>
      <c r="B9" s="8"/>
      <c r="C9" s="8"/>
      <c r="D9" s="8"/>
      <c r="E9" s="8"/>
      <c r="F9" s="8" t="s">
        <v>222</v>
      </c>
      <c r="G9" s="9" t="s">
        <v>223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Dashboard</vt:lpstr>
      <vt:lpstr>Bloc 1</vt:lpstr>
      <vt:lpstr>Bloc 2</vt:lpstr>
      <vt:lpstr>Bloc 3</vt:lpstr>
      <vt:lpstr>Bloc 4</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Aurelien BOUDIER</cp:lastModifiedBy>
  <dcterms:created xsi:type="dcterms:W3CDTF">2025-10-12T15:58:14Z</dcterms:created>
  <dcterms:modified xsi:type="dcterms:W3CDTF">2025-12-07T14:21:26Z</dcterms:modified>
</cp:coreProperties>
</file>